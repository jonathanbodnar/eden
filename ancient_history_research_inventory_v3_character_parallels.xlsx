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_Inventory" sheetId="2" state="visible" r:id="rId2"/>
    <sheet xmlns:r="http://schemas.openxmlformats.org/officeDocument/2006/relationships" name="Source_Portals" sheetId="3" state="visible" r:id="rId3"/>
    <sheet xmlns:r="http://schemas.openxmlformats.org/officeDocument/2006/relationships" name="Story_Arcs" sheetId="4" state="visible" r:id="rId4"/>
    <sheet xmlns:r="http://schemas.openxmlformats.org/officeDocument/2006/relationships" name="Methodology" sheetId="5" state="visible" r:id="rId5"/>
    <sheet xmlns:r="http://schemas.openxmlformats.org/officeDocument/2006/relationships" name="Belief_Themes_v2" sheetId="6" state="visible" r:id="rId6"/>
    <sheet xmlns:r="http://schemas.openxmlformats.org/officeDocument/2006/relationships" name="Character_Parallels" sheetId="7" state="visible" r:id="rId7"/>
    <sheet xmlns:r="http://schemas.openxmlformats.org/officeDocument/2006/relationships" name="Source_Strategy_v3" sheetId="8" state="visible" r:id="rId8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5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0" borderId="0" pivotButton="0" quotePrefix="0" xfId="1"/>
    <xf numFmtId="0" fontId="0" fillId="4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 wrapText="1"/>
    </xf>
  </cellXfs>
  <cellStyles count="2">
    <cellStyle name="Normal" xfId="0"/>
    <cellStyle name="Hyperlink" xfId="1"/>
  </cellStyles>
  <dxfs count="2">
    <dxf>
      <fill>
        <patternFill>
          <bgColor rgb="00D9EAD3"/>
        </patternFill>
      </fill>
    </dxf>
    <dxf>
      <fill>
        <patternFill>
          <bgColor rgb="00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Stable row id for referencing records in notes or future scripts.</t>
      </text>
    </comment>
    <comment ref="B1" authorId="0" shapeId="0">
      <text>
        <t>Use this to separate strict BCE-to-1-AD scope from later witnesses preserving older traditions.</t>
      </text>
    </comment>
    <comment ref="Q1" authorId="0" shapeId="0">
      <text>
        <t>High means heavily used in lost-civilization, ancient-astronaut, megalithic-mystery, or Hancock-adjacent discourse.</t>
      </text>
    </comment>
    <comment ref="V1" authorId="0" shapeId="0">
      <text>
        <t>Best translation portal. Some traditions only have later manuscript witnesses or partial translations.</t>
      </text>
    </comment>
    <comment ref="AE1" authorId="0" shapeId="0">
      <text>
        <t>Research_Priority is your recommended order of attack, not a truth ranking.</t>
      </text>
    </comment>
  </commentList>
</comments>
</file>

<file path=xl/tables/table1.xml><?xml version="1.0" encoding="utf-8"?>
<table xmlns="http://schemas.openxmlformats.org/spreadsheetml/2006/main" id="1" name="MasterInventoryTable" displayName="MasterInventoryTable" ref="A1:AI280" headerRowCount="1">
  <autoFilter ref="A1:AI222"/>
  <tableColumns count="35">
    <tableColumn id="1" name="Record_ID"/>
    <tableColumn id="2" name="Scope_Flag"/>
    <tableColumn id="3" name="Region"/>
    <tableColumn id="4" name="Culture_Tradition"/>
    <tableColumn id="5" name="Start_Year_Signed"/>
    <tableColumn id="6" name="End_Year_Signed"/>
    <tableColumn id="7" name="Date_Label"/>
    <tableColumn id="8" name="Item_Name"/>
    <tableColumn id="9" name="Item_Type"/>
    <tableColumn id="10" name="Preservation_Mode"/>
    <tableColumn id="11" name="Theme_1"/>
    <tableColumn id="12" name="Theme_2"/>
    <tableColumn id="13" name="Modern_Location"/>
    <tableColumn id="14" name="Ancient_Location"/>
    <tableColumn id="15" name="Factual_Description"/>
    <tableColumn id="16" name="Why_It_Matters"/>
    <tableColumn id="17" name="Alt_History_Citation_Level"/>
    <tableColumn id="18" name="Translation_Available"/>
    <tableColumn id="19" name="Image_Access"/>
    <tableColumn id="20" name="Primary_Portal"/>
    <tableColumn id="21" name="Primary_URL"/>
    <tableColumn id="22" name="Translation_Portal"/>
    <tableColumn id="23" name="Translation_URL"/>
    <tableColumn id="24" name="Image_Object_Portal"/>
    <tableColumn id="25" name="Image_Object_URL"/>
    <tableColumn id="26" name="Context_Portal"/>
    <tableColumn id="27" name="Context_URL"/>
    <tableColumn id="28" name="Map_Portal"/>
    <tableColumn id="29" name="Map_URL"/>
    <tableColumn id="30" name="Suggested_Search_Term"/>
    <tableColumn id="31" name="Evidence_Notes"/>
    <tableColumn id="32" name="Cross_Cultural_Links"/>
    <tableColumn id="33" name="Research_Priority"/>
    <tableColumn id="34" name="Opportunity_Level"/>
    <tableColumn id="35" name="User_Notes"/>
  </tableColumns>
  <tableStyleInfo name="TableStyleMedium2" showRowStripes="1"/>
</table>
</file>

<file path=xl/tables/table2.xml><?xml version="1.0" encoding="utf-8"?>
<table xmlns="http://schemas.openxmlformats.org/spreadsheetml/2006/main" id="2" name="SourcePortalsTable" displayName="SourcePortalsTable" ref="A1:H28" headerRowCount="1">
  <autoFilter ref="A1:H26"/>
  <tableColumns count="8">
    <tableColumn id="1" name="Portal_Name"/>
    <tableColumn id="2" name="Coverage"/>
    <tableColumn id="3" name="Best_For"/>
    <tableColumn id="4" name="Translation_Strength"/>
    <tableColumn id="5" name="Image_Strength"/>
    <tableColumn id="6" name="Artifact_Record_Strength"/>
    <tableColumn id="7" name="Map_Site_Strength"/>
    <tableColumn id="8" name="URL"/>
  </tableColumns>
  <tableStyleInfo name="TableStyleMedium9" showRowStripes="1"/>
</table>
</file>

<file path=xl/tables/table3.xml><?xml version="1.0" encoding="utf-8"?>
<table xmlns="http://schemas.openxmlformats.org/spreadsheetml/2006/main" id="3" name="StoryArcsTable" displayName="StoryArcsTable" ref="A1:F10" headerRowCount="1">
  <autoFilter ref="A1:F7"/>
  <tableColumns count="6">
    <tableColumn id="1" name="Story_Arc"/>
    <tableColumn id="2" name="What_to_trace"/>
    <tableColumn id="3" name="Primary_Start_Set"/>
    <tableColumn id="4" name="Secondary_Start_Set"/>
    <tableColumn id="5" name="Control_Sources"/>
    <tableColumn id="6" name="Common_Trap_to_Avoid"/>
  </tableColumns>
  <tableStyleInfo name="TableStyleMedium4" showRowStripes="1"/>
</table>
</file>

<file path=xl/tables/table4.xml><?xml version="1.0" encoding="utf-8"?>
<table xmlns="http://schemas.openxmlformats.org/spreadsheetml/2006/main" id="4" name="CharacterParallelsTable" displayName="CharacterParallelsTable" ref="A1:U51" headerRowCount="1">
  <autoFilter ref="A1:U51"/>
  <tableColumns count="21">
    <tableColumn id="1" name="Parallel_Group"/>
    <tableColumn id="2" name="Motif"/>
    <tableColumn id="3" name="Figure"/>
    <tableColumn id="4" name="Culture_Tradition"/>
    <tableColumn id="5" name="Region"/>
    <tableColumn id="6" name="Date_Context"/>
    <tableColumn id="7" name="Role_Type"/>
    <tableColumn id="8" name="Core_Function"/>
    <tableColumn id="9" name="Closest_Parallels"/>
    <tableColumn id="10" name="Main_Texts_or_Witnesses"/>
    <tableColumn id="11" name="Main_Sites_or_Objects"/>
    <tableColumn id="12" name="Identity_Status"/>
    <tableColumn id="13" name="Comparison_Rationale"/>
    <tableColumn id="14" name="Best_Fact_Portal"/>
    <tableColumn id="15" name="Best_Fact_URL"/>
    <tableColumn id="16" name="Best_Translation_Portal"/>
    <tableColumn id="17" name="Best_Translation_URL"/>
    <tableColumn id="18" name="Best_Image_or_Object_Portal"/>
    <tableColumn id="19" name="Best_Image_or_Object_URL"/>
    <tableColumn id="20" name="Master_Inventory_Match"/>
    <tableColumn id="21" name="Research_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ourceStrategyTable" displayName="SourceStrategyTable" ref="A1:F14" headerRowCount="1">
  <autoFilter ref="A1:F14"/>
  <tableColumns count="6">
    <tableColumn id="1" name="Portal_Name"/>
    <tableColumn id="2" name="What_it_is_best_for"/>
    <tableColumn id="3" name="What_you_get"/>
    <tableColumn id="4" name="Typical_use"/>
    <tableColumn id="5" name="Official_URL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  <col width="16" customWidth="1" min="3" max="3"/>
    <col width="18" customWidth="1" min="4" max="4"/>
    <col width="28" customWidth="1" min="5" max="5"/>
    <col width="75" customWidth="1" min="6" max="6"/>
    <col width="85" customWidth="1" min="7" max="7"/>
  </cols>
  <sheetData>
    <row r="1">
      <c r="A1" s="1" t="inlineStr">
        <is>
          <t>Ancient History Reconstruction Workbook v3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Purpose</t>
        </is>
      </c>
      <c r="B3" s="2" t="inlineStr">
        <is>
          <t>Research inventory for reconstructing ancient history from archaeology, texts, inscriptions, oral traditions, and object corpora. Focus is BCE through 1 AD, with later witnesses flagged separately when they preserve older traditions or are commonly cited by alternative-history writers.</t>
        </is>
      </c>
      <c r="C3" s="2" t="n"/>
      <c r="D3" s="2" t="n"/>
      <c r="E3" s="2" t="n"/>
      <c r="F3" s="2" t="n"/>
      <c r="G3" s="2" t="n"/>
    </row>
    <row r="4">
      <c r="A4" s="3" t="inlineStr">
        <is>
          <t>How to use</t>
        </is>
      </c>
      <c r="B4" s="2" t="inlineStr">
        <is>
          <t>Filter Master_Inventory by Region, Scope_Flag, Theme, Research_Priority, or Alt_History_Citation_Level. Use Suggested_Search_Term inside the linked portal. Treat Evidence_Notes as your guardrail between artifact/text facts and speculative interpretation.</t>
        </is>
      </c>
      <c r="C4" s="2" t="n"/>
      <c r="D4" s="2" t="n"/>
      <c r="E4" s="2" t="n"/>
      <c r="F4" s="2" t="n"/>
      <c r="G4" s="2" t="n"/>
    </row>
    <row r="5">
      <c r="A5" s="3" t="inlineStr">
        <is>
          <t>Date generated</t>
        </is>
      </c>
      <c r="B5" s="2" t="inlineStr">
        <is>
          <t>2026-04-07</t>
        </is>
      </c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3" t="inlineStr">
        <is>
          <t>Key totals</t>
        </is>
      </c>
      <c r="B7" s="2" t="n"/>
      <c r="C7" s="13" t="inlineStr">
        <is>
          <t>New in v3</t>
        </is>
      </c>
      <c r="D7" s="13" t="inlineStr">
        <is>
          <t>Value</t>
        </is>
      </c>
      <c r="E7" s="3" t="inlineStr">
        <is>
          <t>Theme starter paths</t>
        </is>
      </c>
      <c r="F7" s="2" t="n"/>
      <c r="G7" s="2" t="n"/>
    </row>
    <row r="8">
      <c r="A8" s="4" t="inlineStr">
        <is>
          <t>Metric</t>
        </is>
      </c>
      <c r="B8" s="4" t="inlineStr">
        <is>
          <t>Value</t>
        </is>
      </c>
      <c r="C8" s="4" t="inlineStr">
        <is>
          <t>Character parallels rows</t>
        </is>
      </c>
      <c r="D8" s="4" t="n">
        <v>50</v>
      </c>
      <c r="E8" s="4" t="inlineStr">
        <is>
          <t>Theme</t>
        </is>
      </c>
      <c r="F8" s="4" t="inlineStr">
        <is>
          <t>Start with</t>
        </is>
      </c>
      <c r="G8" s="4" t="inlineStr">
        <is>
          <t>Why</t>
        </is>
      </c>
    </row>
    <row r="9">
      <c r="A9" s="5" t="inlineStr">
        <is>
          <t>Total records</t>
        </is>
      </c>
      <c r="B9" s="5">
        <f>COUNTA(Master_Inventory!A:A)-1</f>
        <v/>
      </c>
      <c r="C9" s="5" t="inlineStr">
        <is>
          <t>Master inventory rows</t>
        </is>
      </c>
      <c r="D9" s="5">
        <f>COUNTA(Master_Inventory!A:A)-1</f>
        <v/>
      </c>
      <c r="E9" s="5" t="inlineStr">
        <is>
          <t>Creation</t>
        </is>
      </c>
      <c r="F9" s="5" t="inlineStr">
        <is>
          <t>Genesis; Enuma Elish; Eridu Genesis; Pyramid Texts; Rigveda creation hymns; Theogony; Shan Hai Jing; Popol Vuh (later witness)</t>
        </is>
      </c>
      <c r="G9" s="5" t="inlineStr">
        <is>
          <t>Gives you competing world-beginning models and recurring chaos-water motifs.</t>
        </is>
      </c>
    </row>
    <row r="10">
      <c r="A10" s="5" t="inlineStr">
        <is>
          <t>Later witness / post-1 AD</t>
        </is>
      </c>
      <c r="B10" s="5">
        <f>COUNTIF(Master_Inventory!B:B,"Later_witness_or_post_1AD_relevance")</f>
        <v/>
      </c>
      <c r="C10" s="5" t="inlineStr">
        <is>
          <t>Records with enriched source-search URLs</t>
        </is>
      </c>
      <c r="D10" s="5">
        <f>COUNTA(Master_Inventory!AJ:AJ)-1</f>
        <v/>
      </c>
      <c r="E10" s="5" t="inlineStr">
        <is>
          <t>Flood / catastrophe</t>
        </is>
      </c>
      <c r="F10" s="5" t="inlineStr">
        <is>
          <t>Atrahasis; Gilgamesh XI; Ziusudra; Genesis 6-9; Manu flood; Yu the Great flood traditions; Viracocha traditions (later witness)</t>
        </is>
      </c>
      <c r="G10" s="5" t="inlineStr">
        <is>
          <t>Fastest path for cross-cultural comparison and character-merging work.</t>
        </is>
      </c>
    </row>
    <row r="11">
      <c r="A11" s="5" t="inlineStr">
        <is>
          <t>High alt-history citation</t>
        </is>
      </c>
      <c r="B11" s="5">
        <f>COUNTIF(Master_Inventory!Q:Q,"High")</f>
        <v/>
      </c>
      <c r="C11" s="5" t="inlineStr">
        <is>
          <t>Text / manuscript / inscription rows</t>
        </is>
      </c>
      <c r="D11" s="5">
        <f>COUNTIF(Master_Inventory!I:I,"Text")+COUNTIF(Master_Inventory!I:I,"Text tradition")+COUNTIF(Master_Inventory!I:I,"Inscription")+COUNTIF(Master_Inventory!I:I,"Inscription corpus")+COUNTIF(Master_Inventory!I:I,"Tablet corpus")+COUNTIF(Master_Inventory!I:I,"Manuscript corpus")</f>
        <v/>
      </c>
      <c r="E11" s="5" t="inlineStr">
        <is>
          <t>Civilizer gods / culture heroes</t>
        </is>
      </c>
      <c r="F11" s="5" t="inlineStr">
        <is>
          <t>Enki and the World Order; Oannes/Apkallu material; Quetzalcoatl traditions; Viracocha traditions; Osiris and Ptah material; Yu the Great</t>
        </is>
      </c>
      <c r="G11" s="5" t="inlineStr">
        <is>
          <t>Tracks post-catastrophe order, teaching, and sacred technology.</t>
        </is>
      </c>
    </row>
    <row r="12">
      <c r="A12" s="2" t="n"/>
      <c r="B12" s="2" t="n"/>
      <c r="C12" s="2" t="n"/>
      <c r="D12" s="2" t="n"/>
      <c r="E12" s="5" t="inlineStr">
        <is>
          <t>Astronomy / calendars</t>
        </is>
      </c>
      <c r="F12" s="5" t="inlineStr">
        <is>
          <t>MUL.APIN; Enuma Anu Enlil; Dendera corpus; Mawangdui maps; Maya codices (later witness); Antikythera Mechanism; Stonehenge/Newgrange/Nabta Playa</t>
        </is>
      </c>
      <c r="G12" s="5" t="inlineStr">
        <is>
          <t>Maps the strongest evidence for formal sky knowledge.</t>
        </is>
      </c>
    </row>
    <row r="13">
      <c r="A13" s="2" t="n"/>
      <c r="B13" s="2" t="n"/>
      <c r="C13" s="2" t="n"/>
      <c r="D13" s="2" t="n"/>
      <c r="E13" s="5" t="inlineStr">
        <is>
          <t>Kingship / king lists</t>
        </is>
      </c>
      <c r="F13" s="5" t="inlineStr">
        <is>
          <t>Sumerian King List; Abydos King List; Turin Canon; Behistun; Ashokan Edicts; Mesha Stele; Oracle bones; Shujing</t>
        </is>
      </c>
      <c r="G13" s="5" t="inlineStr">
        <is>
          <t>Lets you separate historiography from myth while keeping both in play.</t>
        </is>
      </c>
    </row>
    <row r="14">
      <c r="A14" s="3" t="inlineStr">
        <is>
          <t>Records by region</t>
        </is>
      </c>
      <c r="B14" s="2" t="n"/>
      <c r="C14" s="2" t="n"/>
      <c r="D14" s="2" t="n"/>
      <c r="E14" s="2" t="n"/>
      <c r="F14" s="2" t="n"/>
      <c r="G14" s="2" t="n"/>
    </row>
    <row r="15">
      <c r="A15" s="4" t="inlineStr">
        <is>
          <t>Region</t>
        </is>
      </c>
      <c r="B15" s="4" t="inlineStr">
        <is>
          <t>Records</t>
        </is>
      </c>
      <c r="C15" s="4" t="inlineStr">
        <is>
          <t>Criticals</t>
        </is>
      </c>
      <c r="D15" s="2" t="n"/>
      <c r="E15" s="2" t="n"/>
      <c r="F15" s="2" t="n"/>
      <c r="G15" s="2" t="n"/>
    </row>
    <row r="16">
      <c r="A16" s="5" t="inlineStr">
        <is>
          <t>Prehistory / Neolithic</t>
        </is>
      </c>
      <c r="B16" s="5">
        <f>COUNTIF(Master_Inventory!C:C,"Prehistory / Neolithic")</f>
        <v/>
      </c>
      <c r="C16" s="5">
        <f>COUNTIFS(Master_Inventory!C:C,"Prehistory / Neolithic",Master_Inventory!AG:AG,"Critical")</f>
        <v/>
      </c>
      <c r="D16" s="2" t="n"/>
      <c r="E16" s="3" t="inlineStr">
        <is>
          <t>Legend</t>
        </is>
      </c>
      <c r="F16" s="2" t="n"/>
      <c r="G16" s="2" t="n"/>
    </row>
    <row r="17">
      <c r="A17" s="5" t="inlineStr">
        <is>
          <t>Mesopotamia</t>
        </is>
      </c>
      <c r="B17" s="5">
        <f>COUNTIF(Master_Inventory!C:C,"Mesopotamia")</f>
        <v/>
      </c>
      <c r="C17" s="5">
        <f>COUNTIFS(Master_Inventory!C:C,"Mesopotamia",Master_Inventory!AG:AG,"Critical")</f>
        <v/>
      </c>
      <c r="D17" s="2" t="n"/>
      <c r="E17" s="2" t="inlineStr">
        <is>
          <t>Scope_Flag = BCE_to_1AD</t>
        </is>
      </c>
      <c r="F17" s="2" t="inlineStr">
        <is>
          <t>Core dataset inside requested timeline.</t>
        </is>
      </c>
      <c r="G17" s="2" t="n"/>
    </row>
    <row r="18">
      <c r="A18" s="5" t="inlineStr">
        <is>
          <t>Egypt</t>
        </is>
      </c>
      <c r="B18" s="5">
        <f>COUNTIF(Master_Inventory!C:C,"Egypt")</f>
        <v/>
      </c>
      <c r="C18" s="5">
        <f>COUNTIFS(Master_Inventory!C:C,"Egypt",Master_Inventory!AG:AG,"Critical")</f>
        <v/>
      </c>
      <c r="D18" s="2" t="n"/>
      <c r="E18" s="2" t="inlineStr">
        <is>
          <t>Scope_Flag = Later_witness_or_post_1AD_relevance</t>
        </is>
      </c>
      <c r="F18" s="2" t="inlineStr">
        <is>
          <t>Later manuscript/site/oral witness kept because it preserves older tradition or is central in alternative-history discourse.</t>
        </is>
      </c>
      <c r="G18" s="2" t="n"/>
    </row>
    <row r="19">
      <c r="A19" s="5" t="inlineStr">
        <is>
          <t>Levant / Israel / Phoenicia</t>
        </is>
      </c>
      <c r="B19" s="5">
        <f>COUNTIF(Master_Inventory!C:C,"Levant / Israel / Phoenicia")</f>
        <v/>
      </c>
      <c r="C19" s="5">
        <f>COUNTIFS(Master_Inventory!C:C,"Levant / Israel / Phoenicia",Master_Inventory!AG:AG,"Critical")</f>
        <v/>
      </c>
      <c r="D19" s="2" t="n"/>
      <c r="E19" s="2" t="inlineStr">
        <is>
          <t>Translation_Available = No</t>
        </is>
      </c>
      <c r="F19" s="2" t="inlineStr">
        <is>
          <t>Usually undeciphered script or non-text object.</t>
        </is>
      </c>
      <c r="G19" s="2" t="n"/>
    </row>
    <row r="20">
      <c r="A20" s="5" t="inlineStr">
        <is>
          <t>Iran / Central Asia</t>
        </is>
      </c>
      <c r="B20" s="5">
        <f>COUNTIF(Master_Inventory!C:C,"Iran / Central Asia")</f>
        <v/>
      </c>
      <c r="C20" s="5">
        <f>COUNTIFS(Master_Inventory!C:C,"Iran / Central Asia",Master_Inventory!AG:AG,"Critical")</f>
        <v/>
      </c>
      <c r="D20" s="2" t="n"/>
      <c r="E20" s="2" t="inlineStr">
        <is>
          <t>Alt_History_Citation_Level = High</t>
        </is>
      </c>
      <c r="F20" s="2" t="inlineStr">
        <is>
          <t>Commonly cited by Hancock, ancient-astronaut writers, megalithic/lost-civilization media, or adjacent channels.</t>
        </is>
      </c>
      <c r="G20" s="2" t="n"/>
    </row>
    <row r="21">
      <c r="A21" s="5" t="inlineStr">
        <is>
          <t>South Asia</t>
        </is>
      </c>
      <c r="B21" s="5">
        <f>COUNTIF(Master_Inventory!C:C,"South Asia")</f>
        <v/>
      </c>
      <c r="C21" s="5">
        <f>COUNTIFS(Master_Inventory!C:C,"South Asia",Master_Inventory!AG:AG,"Critical")</f>
        <v/>
      </c>
      <c r="D21" s="2" t="n"/>
      <c r="E21" s="2" t="n"/>
      <c r="F21" s="2" t="n"/>
      <c r="G21" s="2" t="n"/>
    </row>
    <row r="22">
      <c r="A22" s="5" t="inlineStr">
        <is>
          <t>China</t>
        </is>
      </c>
      <c r="B22" s="5">
        <f>COUNTIF(Master_Inventory!C:C,"China")</f>
        <v/>
      </c>
      <c r="C22" s="5">
        <f>COUNTIFS(Master_Inventory!C:C,"China",Master_Inventory!AG:AG,"Critical")</f>
        <v/>
      </c>
      <c r="D22" s="2" t="n"/>
      <c r="E22" s="2" t="n"/>
      <c r="F22" s="2" t="n"/>
      <c r="G22" s="2" t="n"/>
    </row>
    <row r="23">
      <c r="A23" s="5" t="inlineStr">
        <is>
          <t>Japan / Korea</t>
        </is>
      </c>
      <c r="B23" s="5">
        <f>COUNTIF(Master_Inventory!C:C,"Japan / Korea")</f>
        <v/>
      </c>
      <c r="C23" s="5">
        <f>COUNTIFS(Master_Inventory!C:C,"Japan / Korea",Master_Inventory!AG:AG,"Critical")</f>
        <v/>
      </c>
      <c r="D23" s="2" t="n"/>
      <c r="E23" s="2" t="n"/>
      <c r="F23" s="2" t="n"/>
      <c r="G23" s="2" t="n"/>
    </row>
    <row r="24">
      <c r="A24" s="5" t="inlineStr">
        <is>
          <t>Aegean / Greece / Italy</t>
        </is>
      </c>
      <c r="B24" s="5">
        <f>COUNTIF(Master_Inventory!C:C,"Aegean / Greece / Italy")</f>
        <v/>
      </c>
      <c r="C24" s="5">
        <f>COUNTIFS(Master_Inventory!C:C,"Aegean / Greece / Italy",Master_Inventory!AG:AG,"Critical")</f>
        <v/>
      </c>
      <c r="D24" s="2" t="n"/>
      <c r="E24" s="2" t="n"/>
      <c r="F24" s="2" t="n"/>
      <c r="G24" s="2" t="n"/>
    </row>
    <row r="25">
      <c r="A25" s="5" t="inlineStr">
        <is>
          <t>Northern / Celtic Europe</t>
        </is>
      </c>
      <c r="B25" s="5">
        <f>COUNTIF(Master_Inventory!C:C,"Northern / Celtic Europe")</f>
        <v/>
      </c>
      <c r="C25" s="5">
        <f>COUNTIFS(Master_Inventory!C:C,"Northern / Celtic Europe",Master_Inventory!AG:AG,"Critical")</f>
        <v/>
      </c>
      <c r="D25" s="2" t="n"/>
      <c r="E25" s="2" t="n"/>
      <c r="F25" s="2" t="n"/>
      <c r="G25" s="2" t="n"/>
    </row>
    <row r="26">
      <c r="A26" s="5" t="inlineStr">
        <is>
          <t>Africa (outside Egypt)</t>
        </is>
      </c>
      <c r="B26" s="5">
        <f>COUNTIF(Master_Inventory!C:C,"Africa (outside Egypt)")</f>
        <v/>
      </c>
      <c r="C26" s="5">
        <f>COUNTIFS(Master_Inventory!C:C,"Africa (outside Egypt)",Master_Inventory!AG:AG,"Critical")</f>
        <v/>
      </c>
      <c r="D26" s="2" t="n"/>
      <c r="E26" s="2" t="n"/>
      <c r="F26" s="2" t="n"/>
      <c r="G26" s="2" t="n"/>
    </row>
    <row r="27">
      <c r="A27" s="5" t="inlineStr">
        <is>
          <t>Mesoamerica</t>
        </is>
      </c>
      <c r="B27" s="5">
        <f>COUNTIF(Master_Inventory!C:C,"Mesoamerica")</f>
        <v/>
      </c>
      <c r="C27" s="5">
        <f>COUNTIFS(Master_Inventory!C:C,"Mesoamerica",Master_Inventory!AG:AG,"Critical")</f>
        <v/>
      </c>
      <c r="D27" s="2" t="n"/>
      <c r="E27" s="2" t="n"/>
      <c r="F27" s="2" t="n"/>
      <c r="G27" s="2" t="n"/>
    </row>
    <row r="28">
      <c r="A28" s="5" t="inlineStr">
        <is>
          <t>Andes / South America</t>
        </is>
      </c>
      <c r="B28" s="5">
        <f>COUNTIF(Master_Inventory!C:C,"Andes / South America")</f>
        <v/>
      </c>
      <c r="C28" s="5">
        <f>COUNTIFS(Master_Inventory!C:C,"Andes / South America",Master_Inventory!AG:AG,"Critical")</f>
        <v/>
      </c>
      <c r="D28" s="2" t="n"/>
      <c r="E28" s="2" t="n"/>
      <c r="F28" s="2" t="n"/>
      <c r="G28" s="2" t="n"/>
    </row>
    <row r="29">
      <c r="A29" s="2" t="inlineStr">
        <is>
          <t>North America / Oceania</t>
        </is>
      </c>
      <c r="B29" s="2">
        <f>COUNTIF(Master_Inventory!C:C,"North America / Oceania")</f>
        <v/>
      </c>
      <c r="C29" s="2">
        <f>COUNTIFS(Master_Inventory!C:C,"North America / Oceania",Master_Inventory!AG:AG,"Critical")</f>
        <v/>
      </c>
      <c r="D29" s="2" t="n"/>
      <c r="E29" s="2" t="n"/>
      <c r="F29" s="2" t="n"/>
      <c r="G2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4" customWidth="1" min="4" max="4"/>
    <col width="12" customWidth="1" min="5" max="5"/>
    <col width="12" customWidth="1" min="6" max="6"/>
    <col width="22" customWidth="1" min="7" max="7"/>
    <col width="30" customWidth="1" min="8" max="8"/>
    <col width="18" customWidth="1" min="9" max="9"/>
    <col width="20" customWidth="1" min="10" max="10"/>
    <col width="16" customWidth="1" min="11" max="11"/>
    <col width="16" customWidth="1" min="12" max="12"/>
    <col width="22" customWidth="1" min="13" max="13"/>
    <col width="22" customWidth="1" min="14" max="14"/>
    <col width="48" customWidth="1" min="15" max="15"/>
    <col width="44" customWidth="1" min="16" max="16"/>
    <col width="12" customWidth="1" min="17" max="17"/>
    <col width="16" customWidth="1" min="18" max="18"/>
    <col width="12" customWidth="1" min="19" max="19"/>
    <col width="18" customWidth="1" min="20" max="20"/>
    <col width="30" customWidth="1" min="21" max="21"/>
    <col width="18" customWidth="1" min="22" max="22"/>
    <col width="30" customWidth="1" min="23" max="23"/>
    <col width="20" customWidth="1" min="24" max="24"/>
    <col width="32" customWidth="1" min="25" max="25"/>
    <col width="18" customWidth="1" min="26" max="26"/>
    <col width="28" customWidth="1" min="27" max="27"/>
    <col width="14" customWidth="1" min="28" max="28"/>
    <col width="28" customWidth="1" min="29" max="29"/>
    <col width="28" customWidth="1" min="30" max="30"/>
    <col width="48" customWidth="1" min="31" max="31"/>
    <col width="36" customWidth="1" min="32" max="32"/>
    <col width="14" customWidth="1" min="33" max="33"/>
    <col width="1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44" customWidth="1" min="41" max="41"/>
    <col width="24" customWidth="1" min="42" max="42"/>
  </cols>
  <sheetData>
    <row r="1">
      <c r="A1" s="12" t="inlineStr">
        <is>
          <t>Record_ID</t>
        </is>
      </c>
      <c r="B1" s="6" t="inlineStr">
        <is>
          <t>Scope_Flag</t>
        </is>
      </c>
      <c r="C1" s="6" t="inlineStr">
        <is>
          <t>Region</t>
        </is>
      </c>
      <c r="D1" s="6" t="inlineStr">
        <is>
          <t>Culture_Tradition</t>
        </is>
      </c>
      <c r="E1" s="6" t="inlineStr">
        <is>
          <t>Start_Year_Signed</t>
        </is>
      </c>
      <c r="F1" s="6" t="inlineStr">
        <is>
          <t>End_Year_Signed</t>
        </is>
      </c>
      <c r="G1" s="6" t="inlineStr">
        <is>
          <t>Date_Label</t>
        </is>
      </c>
      <c r="H1" s="6" t="inlineStr">
        <is>
          <t>Item_Name</t>
        </is>
      </c>
      <c r="I1" s="6" t="inlineStr">
        <is>
          <t>Item_Type</t>
        </is>
      </c>
      <c r="J1" s="6" t="inlineStr">
        <is>
          <t>Preservation_Mode</t>
        </is>
      </c>
      <c r="K1" s="6" t="inlineStr">
        <is>
          <t>Theme_1</t>
        </is>
      </c>
      <c r="L1" s="6" t="inlineStr">
        <is>
          <t>Theme_2</t>
        </is>
      </c>
      <c r="M1" s="6" t="inlineStr">
        <is>
          <t>Modern_Location</t>
        </is>
      </c>
      <c r="N1" s="6" t="inlineStr">
        <is>
          <t>Ancient_Location</t>
        </is>
      </c>
      <c r="O1" s="6" t="inlineStr">
        <is>
          <t>Factual_Description</t>
        </is>
      </c>
      <c r="P1" s="6" t="inlineStr">
        <is>
          <t>Why_It_Matters</t>
        </is>
      </c>
      <c r="Q1" s="6" t="inlineStr">
        <is>
          <t>Alt_History_Citation_Level</t>
        </is>
      </c>
      <c r="R1" s="6" t="inlineStr">
        <is>
          <t>Translation_Available</t>
        </is>
      </c>
      <c r="S1" s="6" t="inlineStr">
        <is>
          <t>Image_Access</t>
        </is>
      </c>
      <c r="T1" s="6" t="inlineStr">
        <is>
          <t>Primary_Portal</t>
        </is>
      </c>
      <c r="U1" s="6" t="inlineStr">
        <is>
          <t>Primary_URL</t>
        </is>
      </c>
      <c r="V1" s="6" t="inlineStr">
        <is>
          <t>Translation_Portal</t>
        </is>
      </c>
      <c r="W1" s="6" t="inlineStr">
        <is>
          <t>Translation_URL</t>
        </is>
      </c>
      <c r="X1" s="6" t="inlineStr">
        <is>
          <t>Image_Object_Portal</t>
        </is>
      </c>
      <c r="Y1" s="6" t="inlineStr">
        <is>
          <t>Image_Object_URL</t>
        </is>
      </c>
      <c r="Z1" s="6" t="inlineStr">
        <is>
          <t>Context_Portal</t>
        </is>
      </c>
      <c r="AA1" s="6" t="inlineStr">
        <is>
          <t>Context_URL</t>
        </is>
      </c>
      <c r="AB1" s="6" t="inlineStr">
        <is>
          <t>Map_Portal</t>
        </is>
      </c>
      <c r="AC1" s="6" t="inlineStr">
        <is>
          <t>Map_URL</t>
        </is>
      </c>
      <c r="AD1" s="6" t="inlineStr">
        <is>
          <t>Suggested_Search_Term</t>
        </is>
      </c>
      <c r="AE1" s="6" t="inlineStr">
        <is>
          <t>Evidence_Notes</t>
        </is>
      </c>
      <c r="AF1" s="6" t="inlineStr">
        <is>
          <t>Cross_Cultural_Links</t>
        </is>
      </c>
      <c r="AG1" s="6" t="inlineStr">
        <is>
          <t>Research_Priority</t>
        </is>
      </c>
      <c r="AH1" s="6" t="inlineStr">
        <is>
          <t>Opportunity_Level</t>
        </is>
      </c>
      <c r="AI1" s="6" t="inlineStr">
        <is>
          <t>User_Notes</t>
        </is>
      </c>
      <c r="AJ1" s="12" t="inlineStr">
        <is>
          <t>Primary_Search_URL</t>
        </is>
      </c>
      <c r="AK1" s="12" t="inlineStr">
        <is>
          <t>Translation_Search_URL</t>
        </is>
      </c>
      <c r="AL1" s="12" t="inlineStr">
        <is>
          <t>Image_Search_URL</t>
        </is>
      </c>
      <c r="AM1" s="12" t="inlineStr">
        <is>
          <t>Context_Search_URL</t>
        </is>
      </c>
      <c r="AN1" s="12" t="inlineStr">
        <is>
          <t>Map_Search_URL</t>
        </is>
      </c>
      <c r="AO1" s="12" t="inlineStr">
        <is>
          <t>Recommended_Source_Workflow</t>
        </is>
      </c>
      <c r="AP1" s="12" t="inlineStr">
        <is>
          <t>Source_Directness_Note</t>
        </is>
      </c>
    </row>
    <row r="2">
      <c r="A2" s="2" t="n">
        <v>1</v>
      </c>
      <c r="B2" s="7" t="inlineStr">
        <is>
          <t>BCE_to_1AD</t>
        </is>
      </c>
      <c r="C2" s="2" t="inlineStr">
        <is>
          <t>Prehistory / Neolithic</t>
        </is>
      </c>
      <c r="D2" s="2" t="inlineStr">
        <is>
          <t>Prehistory and Neolithic traditions</t>
        </is>
      </c>
      <c r="E2" s="2" t="n">
        <v>-9600</v>
      </c>
      <c r="F2" s="2" t="n">
        <v>-8200</v>
      </c>
      <c r="G2" s="2" t="inlineStr">
        <is>
          <t>c. 9600 BCE to 8200 BCE</t>
        </is>
      </c>
      <c r="H2" s="2" t="inlineStr">
        <is>
          <t>Gobekli Tepe</t>
        </is>
      </c>
      <c r="I2" s="2" t="inlineStr">
        <is>
          <t>Site</t>
        </is>
      </c>
      <c r="J2" s="2" t="inlineStr">
        <is>
          <t>Archaeology</t>
        </is>
      </c>
      <c r="K2" s="2" t="inlineStr">
        <is>
          <t>Megaliths</t>
        </is>
      </c>
      <c r="L2" s="2" t="inlineStr">
        <is>
          <t>Ritual</t>
        </is>
      </c>
      <c r="M2" s="2" t="inlineStr">
        <is>
          <t>Turkey</t>
        </is>
      </c>
      <c r="N2" s="2" t="inlineStr">
        <is>
          <t>Upper Mesopotamia</t>
        </is>
      </c>
      <c r="O2" s="2" t="inlineStr">
        <is>
          <t>Monumental Pre-Pottery Neolithic ritual complex with carved T-pillars and enclosures.</t>
        </is>
      </c>
      <c r="P2" s="2" t="inlineStr">
        <is>
          <t>Earliest large ritual architecture commonly cited in deep-prehistory narratives.</t>
        </is>
      </c>
      <c r="Q2" s="2" t="inlineStr">
        <is>
          <t>High</t>
        </is>
      </c>
      <c r="R2" s="2" t="inlineStr">
        <is>
          <t>Not applicable</t>
        </is>
      </c>
      <c r="S2" s="2" t="inlineStr">
        <is>
          <t>High</t>
        </is>
      </c>
      <c r="T2" s="2" t="inlineStr">
        <is>
          <t>UNESCO</t>
        </is>
      </c>
      <c r="U2" s="8" t="inlineStr">
        <is>
          <t>https://whc.unesco.org/</t>
        </is>
      </c>
      <c r="V2" s="2" t="inlineStr">
        <is>
          <t>UNESCO</t>
        </is>
      </c>
      <c r="W2" s="8" t="inlineStr">
        <is>
          <t>https://whc.unesco.org/</t>
        </is>
      </c>
      <c r="X2" s="2" t="inlineStr">
        <is>
          <t>Smithsonian Open Access</t>
        </is>
      </c>
      <c r="Y2" s="8" t="inlineStr">
        <is>
          <t>https://www.si.edu/openaccess</t>
        </is>
      </c>
      <c r="Z2" s="2" t="inlineStr">
        <is>
          <t>UNESCO</t>
        </is>
      </c>
      <c r="AA2" s="8" t="inlineStr">
        <is>
          <t>https://whc.unesco.org/</t>
        </is>
      </c>
      <c r="AB2" s="2" t="inlineStr">
        <is>
          <t>UNESCO</t>
        </is>
      </c>
      <c r="AC2" s="8" t="inlineStr">
        <is>
          <t>https://whc.unesco.org/</t>
        </is>
      </c>
      <c r="AD2" s="2" t="inlineStr">
        <is>
          <t>Gobekli Tepe UNESCO</t>
        </is>
      </c>
      <c r="AE2" s="2" t="inlineStr">
        <is>
          <t>Use excavation reports for layout and pillar phases.</t>
        </is>
      </c>
      <c r="AF2" s="2" t="inlineStr">
        <is>
          <t>Monumentality; origins of ritual; sky-symbol debates</t>
        </is>
      </c>
      <c r="AG2" s="2" t="inlineStr">
        <is>
          <t>Critical</t>
        </is>
      </c>
      <c r="AH2" s="2" t="inlineStr">
        <is>
          <t>High</t>
        </is>
      </c>
      <c r="AI2" s="2" t="inlineStr"/>
      <c r="AJ2" t="inlineStr">
        <is>
          <t>https://whc.unesco.org/en/search/?searchterm=Gobekli+Tepe+UNESCO</t>
        </is>
      </c>
      <c r="AK2" t="inlineStr">
        <is>
          <t>https://whc.unesco.org/en/search/?searchterm=Gobekli+Tepe+UNESCO</t>
        </is>
      </c>
      <c r="AL2" t="inlineStr">
        <is>
          <t>https://www.si.edu/collection/search?edan_q=Gobekli+Tepe+UNESCO</t>
        </is>
      </c>
      <c r="AM2" t="inlineStr">
        <is>
          <t>https://whc.unesco.org/en/search/?searchterm=Gobekli+Tepe+UNESCO</t>
        </is>
      </c>
      <c r="AN2" t="inlineStr">
        <is>
          <t>https://whc.unesco.org/en/search/?searchterm=Gobekli+Tepe+UNESCO</t>
        </is>
      </c>
      <c r="AO2" t="inlineStr">
        <is>
          <t>1) Fact base: UNESCO. 2) Translation/text: UNESCO. 3) Images/objects: Smithsonian Open Access. 4) Context/explanation: UNESCO. 5) Geography/maps: UNESCO. Use Suggested_Search_Term inside each portal.</t>
        </is>
      </c>
      <c r="AP2" t="inlineStr">
        <is>
          <t>Mixed: direct portal homepages plus search-result URLs where the portal exposes a public search endpoint.</t>
        </is>
      </c>
    </row>
    <row r="3">
      <c r="A3" s="2" t="n">
        <v>2</v>
      </c>
      <c r="B3" s="7" t="inlineStr">
        <is>
          <t>BCE_to_1AD</t>
        </is>
      </c>
      <c r="C3" s="2" t="inlineStr">
        <is>
          <t>Prehistory / Neolithic</t>
        </is>
      </c>
      <c r="D3" s="2" t="inlineStr">
        <is>
          <t>Prehistory and Neolithic traditions</t>
        </is>
      </c>
      <c r="E3" s="2" t="n">
        <v>-9500</v>
      </c>
      <c r="F3" s="2" t="n">
        <v>-8000</v>
      </c>
      <c r="G3" s="2" t="inlineStr">
        <is>
          <t>c. 9500 BCE to 8000 BCE</t>
        </is>
      </c>
      <c r="H3" s="2" t="inlineStr">
        <is>
          <t>Karahan Tepe</t>
        </is>
      </c>
      <c r="I3" s="2" t="inlineStr">
        <is>
          <t>Site</t>
        </is>
      </c>
      <c r="J3" s="2" t="inlineStr">
        <is>
          <t>Archaeology</t>
        </is>
      </c>
      <c r="K3" s="2" t="inlineStr">
        <is>
          <t>Megaliths</t>
        </is>
      </c>
      <c r="L3" s="2" t="inlineStr">
        <is>
          <t>Ritual</t>
        </is>
      </c>
      <c r="M3" s="2" t="inlineStr">
        <is>
          <t>Turkey</t>
        </is>
      </c>
      <c r="N3" s="2" t="inlineStr">
        <is>
          <t>Tas Tepeler region</t>
        </is>
      </c>
      <c r="O3" s="2" t="inlineStr">
        <is>
          <t>Large Pre-Pottery Neolithic site with carved pillars, human imagery, and rock-cut features.</t>
        </is>
      </c>
      <c r="P3" s="2" t="inlineStr">
        <is>
          <t>Key comparative site to avoid treating Gobekli Tepe as unique in isolation.</t>
        </is>
      </c>
      <c r="Q3" s="2" t="inlineStr">
        <is>
          <t>High</t>
        </is>
      </c>
      <c r="R3" s="2" t="inlineStr">
        <is>
          <t>Not applicable</t>
        </is>
      </c>
      <c r="S3" s="2" t="inlineStr">
        <is>
          <t>Medium</t>
        </is>
      </c>
      <c r="T3" s="2" t="inlineStr">
        <is>
          <t>UNESCO</t>
        </is>
      </c>
      <c r="U3" s="8" t="inlineStr">
        <is>
          <t>https://whc.unesco.org/</t>
        </is>
      </c>
      <c r="V3" s="2" t="inlineStr">
        <is>
          <t>UNESCO</t>
        </is>
      </c>
      <c r="W3" s="8" t="inlineStr">
        <is>
          <t>https://whc.unesco.org/</t>
        </is>
      </c>
      <c r="X3" s="2" t="inlineStr">
        <is>
          <t>Smithsonian Open Access</t>
        </is>
      </c>
      <c r="Y3" s="8" t="inlineStr">
        <is>
          <t>https://www.si.edu/openaccess</t>
        </is>
      </c>
      <c r="Z3" s="2" t="inlineStr">
        <is>
          <t>UNESCO</t>
        </is>
      </c>
      <c r="AA3" s="8" t="inlineStr">
        <is>
          <t>https://whc.unesco.org/</t>
        </is>
      </c>
      <c r="AB3" s="2" t="inlineStr">
        <is>
          <t>UNESCO</t>
        </is>
      </c>
      <c r="AC3" s="8" t="inlineStr">
        <is>
          <t>https://whc.unesco.org/</t>
        </is>
      </c>
      <c r="AD3" s="2" t="inlineStr">
        <is>
          <t>Karahan Tepe Tas Tepeler</t>
        </is>
      </c>
      <c r="AE3" s="2" t="inlineStr">
        <is>
          <t>Data set still expanding; check latest excavation summaries.</t>
        </is>
      </c>
      <c r="AF3" s="2" t="inlineStr">
        <is>
          <t>Gobekli cluster; ritual networks</t>
        </is>
      </c>
      <c r="AG3" s="2" t="inlineStr">
        <is>
          <t>Critical</t>
        </is>
      </c>
      <c r="AH3" s="2" t="inlineStr">
        <is>
          <t>High</t>
        </is>
      </c>
      <c r="AI3" s="2" t="inlineStr"/>
      <c r="AJ3" t="inlineStr">
        <is>
          <t>https://whc.unesco.org/en/search/?searchterm=Karahan+Tepe+Tas+Tepeler</t>
        </is>
      </c>
      <c r="AK3" t="inlineStr">
        <is>
          <t>https://whc.unesco.org/en/search/?searchterm=Karahan+Tepe+Tas+Tepeler</t>
        </is>
      </c>
      <c r="AL3" t="inlineStr">
        <is>
          <t>https://www.si.edu/collection/search?edan_q=Karahan+Tepe+Tas+Tepeler</t>
        </is>
      </c>
      <c r="AM3" t="inlineStr">
        <is>
          <t>https://whc.unesco.org/en/search/?searchterm=Karahan+Tepe+Tas+Tepeler</t>
        </is>
      </c>
      <c r="AN3" t="inlineStr">
        <is>
          <t>https://whc.unesco.org/en/search/?searchterm=Karahan+Tepe+Tas+Tepeler</t>
        </is>
      </c>
      <c r="AO3" t="inlineStr">
        <is>
          <t>1) Fact base: UNESCO. 2) Translation/text: UNESCO. 3) Images/objects: Smithsonian Open Access. 4) Context/explanation: UNESCO. 5) Geography/maps: UNESCO. Use Suggested_Search_Term inside each portal.</t>
        </is>
      </c>
      <c r="AP3" t="inlineStr">
        <is>
          <t>Mixed: direct portal homepages plus search-result URLs where the portal exposes a public search endpoint.</t>
        </is>
      </c>
    </row>
    <row r="4">
      <c r="A4" s="2" t="n">
        <v>3</v>
      </c>
      <c r="B4" s="7" t="inlineStr">
        <is>
          <t>BCE_to_1AD</t>
        </is>
      </c>
      <c r="C4" s="2" t="inlineStr">
        <is>
          <t>Prehistory / Neolithic</t>
        </is>
      </c>
      <c r="D4" s="2" t="inlineStr">
        <is>
          <t>Prehistory and Neolithic traditions</t>
        </is>
      </c>
      <c r="E4" s="2" t="n">
        <v>-8500</v>
      </c>
      <c r="F4" s="2" t="n">
        <v>-7900</v>
      </c>
      <c r="G4" s="2" t="inlineStr">
        <is>
          <t>c. 8500 BCE to 7900 BCE</t>
        </is>
      </c>
      <c r="H4" s="2" t="inlineStr">
        <is>
          <t>Nevali Cori</t>
        </is>
      </c>
      <c r="I4" s="2" t="inlineStr">
        <is>
          <t>Site</t>
        </is>
      </c>
      <c r="J4" s="2" t="inlineStr">
        <is>
          <t>Archaeology</t>
        </is>
      </c>
      <c r="K4" s="2" t="inlineStr">
        <is>
          <t>Megaliths</t>
        </is>
      </c>
      <c r="L4" s="2" t="inlineStr">
        <is>
          <t>Settlement</t>
        </is>
      </c>
      <c r="M4" s="2" t="inlineStr">
        <is>
          <t>Turkey</t>
        </is>
      </c>
      <c r="N4" s="2" t="inlineStr">
        <is>
          <t>Upper Euphrates</t>
        </is>
      </c>
      <c r="O4" s="2" t="inlineStr">
        <is>
          <t>Early Neolithic settlement with cult building and T-shaped pillars predating some later sites.</t>
        </is>
      </c>
      <c r="P4" s="2" t="inlineStr">
        <is>
          <t>Shows that carved pillar traditions existed across a wider landscape.</t>
        </is>
      </c>
      <c r="Q4" s="2" t="inlineStr">
        <is>
          <t>Medium</t>
        </is>
      </c>
      <c r="R4" s="2" t="inlineStr">
        <is>
          <t>Not applicable</t>
        </is>
      </c>
      <c r="S4" s="2" t="inlineStr">
        <is>
          <t>Medium</t>
        </is>
      </c>
      <c r="T4" s="2" t="inlineStr">
        <is>
          <t>UNESCO</t>
        </is>
      </c>
      <c r="U4" s="8" t="inlineStr">
        <is>
          <t>https://whc.unesco.org/</t>
        </is>
      </c>
      <c r="V4" s="2" t="inlineStr">
        <is>
          <t>UNESCO</t>
        </is>
      </c>
      <c r="W4" s="8" t="inlineStr">
        <is>
          <t>https://whc.unesco.org/</t>
        </is>
      </c>
      <c r="X4" s="2" t="inlineStr">
        <is>
          <t>Smithsonian Open Access</t>
        </is>
      </c>
      <c r="Y4" s="8" t="inlineStr">
        <is>
          <t>https://www.si.edu/openaccess</t>
        </is>
      </c>
      <c r="Z4" s="2" t="inlineStr">
        <is>
          <t>UNESCO</t>
        </is>
      </c>
      <c r="AA4" s="8" t="inlineStr">
        <is>
          <t>https://whc.unesco.org/</t>
        </is>
      </c>
      <c r="AB4" s="2" t="inlineStr">
        <is>
          <t>UNESCO</t>
        </is>
      </c>
      <c r="AC4" s="8" t="inlineStr">
        <is>
          <t>https://whc.unesco.org/</t>
        </is>
      </c>
      <c r="AD4" s="2" t="inlineStr">
        <is>
          <t>Nevali Cori excavation</t>
        </is>
      </c>
      <c r="AE4" s="2" t="inlineStr">
        <is>
          <t>Mostly known through excavation publications and museum context.</t>
        </is>
      </c>
      <c r="AF4" s="2" t="inlineStr">
        <is>
          <t>Gobekli cluster; early cult buildings</t>
        </is>
      </c>
      <c r="AG4" s="2" t="inlineStr">
        <is>
          <t>High</t>
        </is>
      </c>
      <c r="AH4" s="2" t="inlineStr">
        <is>
          <t>Medium</t>
        </is>
      </c>
      <c r="AI4" s="2" t="inlineStr"/>
      <c r="AJ4" t="inlineStr">
        <is>
          <t>https://whc.unesco.org/en/search/?searchterm=Nevali+Cori+excavation</t>
        </is>
      </c>
      <c r="AK4" t="inlineStr">
        <is>
          <t>https://whc.unesco.org/en/search/?searchterm=Nevali+Cori+excavation</t>
        </is>
      </c>
      <c r="AL4" t="inlineStr">
        <is>
          <t>https://www.si.edu/collection/search?edan_q=Nevali+Cori+excavation</t>
        </is>
      </c>
      <c r="AM4" t="inlineStr">
        <is>
          <t>https://whc.unesco.org/en/search/?searchterm=Nevali+Cori+excavation</t>
        </is>
      </c>
      <c r="AN4" t="inlineStr">
        <is>
          <t>https://whc.unesco.org/en/search/?searchterm=Nevali+Cori+excavation</t>
        </is>
      </c>
      <c r="AO4" t="inlineStr">
        <is>
          <t>1) Fact base: UNESCO. 2) Translation/text: UNESCO. 3) Images/objects: Smithsonian Open Access. 4) Context/explanation: UNESCO. 5) Geography/maps: UNESCO. Use Suggested_Search_Term inside each portal.</t>
        </is>
      </c>
      <c r="AP4" t="inlineStr">
        <is>
          <t>Mixed: direct portal homepages plus search-result URLs where the portal exposes a public search endpoint.</t>
        </is>
      </c>
    </row>
    <row r="5">
      <c r="A5" s="2" t="n">
        <v>4</v>
      </c>
      <c r="B5" s="7" t="inlineStr">
        <is>
          <t>BCE_to_1AD</t>
        </is>
      </c>
      <c r="C5" s="2" t="inlineStr">
        <is>
          <t>Prehistory / Neolithic</t>
        </is>
      </c>
      <c r="D5" s="2" t="inlineStr">
        <is>
          <t>Prehistory and Neolithic traditions</t>
        </is>
      </c>
      <c r="E5" s="2" t="n">
        <v>-7400</v>
      </c>
      <c r="F5" s="2" t="n">
        <v>-6200</v>
      </c>
      <c r="G5" s="2" t="inlineStr">
        <is>
          <t>c. 7400 BCE to 6200 BCE</t>
        </is>
      </c>
      <c r="H5" s="2" t="inlineStr">
        <is>
          <t>Catalhoyuk</t>
        </is>
      </c>
      <c r="I5" s="2" t="inlineStr">
        <is>
          <t>Site</t>
        </is>
      </c>
      <c r="J5" s="2" t="inlineStr">
        <is>
          <t>Archaeology</t>
        </is>
      </c>
      <c r="K5" s="2" t="inlineStr">
        <is>
          <t>Settlement</t>
        </is>
      </c>
      <c r="L5" s="2" t="inlineStr">
        <is>
          <t>Ritual</t>
        </is>
      </c>
      <c r="M5" s="2" t="inlineStr">
        <is>
          <t>Turkey</t>
        </is>
      </c>
      <c r="N5" s="2" t="inlineStr">
        <is>
          <t>Central Anatolia</t>
        </is>
      </c>
      <c r="O5" s="2" t="inlineStr">
        <is>
          <t>Dense Neolithic tell settlement with wall paintings, burials under houses, and symbolic installations.</t>
        </is>
      </c>
      <c r="P5" s="2" t="inlineStr">
        <is>
          <t>Excellent bridge between early village life, ritual practice, and symbolic iconography.</t>
        </is>
      </c>
      <c r="Q5" s="2" t="inlineStr">
        <is>
          <t>Medium</t>
        </is>
      </c>
      <c r="R5" s="2" t="inlineStr">
        <is>
          <t>Not applicable</t>
        </is>
      </c>
      <c r="S5" s="2" t="inlineStr">
        <is>
          <t>High</t>
        </is>
      </c>
      <c r="T5" s="2" t="inlineStr">
        <is>
          <t>UNESCO</t>
        </is>
      </c>
      <c r="U5" s="8" t="inlineStr">
        <is>
          <t>https://whc.unesco.org/</t>
        </is>
      </c>
      <c r="V5" s="2" t="inlineStr">
        <is>
          <t>UNESCO</t>
        </is>
      </c>
      <c r="W5" s="8" t="inlineStr">
        <is>
          <t>https://whc.unesco.org/</t>
        </is>
      </c>
      <c r="X5" s="2" t="inlineStr">
        <is>
          <t>Smithsonian Open Access</t>
        </is>
      </c>
      <c r="Y5" s="8" t="inlineStr">
        <is>
          <t>https://www.si.edu/openaccess</t>
        </is>
      </c>
      <c r="Z5" s="2" t="inlineStr">
        <is>
          <t>UNESCO</t>
        </is>
      </c>
      <c r="AA5" s="8" t="inlineStr">
        <is>
          <t>https://whc.unesco.org/</t>
        </is>
      </c>
      <c r="AB5" s="2" t="inlineStr">
        <is>
          <t>UNESCO</t>
        </is>
      </c>
      <c r="AC5" s="8" t="inlineStr">
        <is>
          <t>https://whc.unesco.org/</t>
        </is>
      </c>
      <c r="AD5" s="2" t="inlineStr">
        <is>
          <t>Catalhoyuk Research Project</t>
        </is>
      </c>
      <c r="AE5" s="2" t="inlineStr">
        <is>
          <t>Use excavation archive rather than older goddess-heavy speculation alone.</t>
        </is>
      </c>
      <c r="AF5" s="2" t="inlineStr">
        <is>
          <t>House cults; symbolic animals; ancestry</t>
        </is>
      </c>
      <c r="AG5" s="2" t="inlineStr">
        <is>
          <t>Critical</t>
        </is>
      </c>
      <c r="AH5" s="2" t="inlineStr">
        <is>
          <t>High</t>
        </is>
      </c>
      <c r="AI5" s="2" t="inlineStr"/>
      <c r="AJ5" t="inlineStr">
        <is>
          <t>https://whc.unesco.org/en/search/?searchterm=Catalhoyuk+Research+Project</t>
        </is>
      </c>
      <c r="AK5" t="inlineStr">
        <is>
          <t>https://whc.unesco.org/en/search/?searchterm=Catalhoyuk+Research+Project</t>
        </is>
      </c>
      <c r="AL5" t="inlineStr">
        <is>
          <t>https://www.si.edu/collection/search?edan_q=Catalhoyuk+Research+Project</t>
        </is>
      </c>
      <c r="AM5" t="inlineStr">
        <is>
          <t>https://whc.unesco.org/en/search/?searchterm=Catalhoyuk+Research+Project</t>
        </is>
      </c>
      <c r="AN5" t="inlineStr">
        <is>
          <t>https://whc.unesco.org/en/search/?searchterm=Catalhoyuk+Research+Project</t>
        </is>
      </c>
      <c r="AO5" t="inlineStr">
        <is>
          <t>1) Fact base: UNESCO. 2) Translation/text: UNESCO. 3) Images/objects: Smithsonian Open Access. 4) Context/explanation: UNESCO. 5) Geography/maps: UNESCO. Use Suggested_Search_Term inside each portal.</t>
        </is>
      </c>
      <c r="AP5" t="inlineStr">
        <is>
          <t>Mixed: direct portal homepages plus search-result URLs where the portal exposes a public search endpoint.</t>
        </is>
      </c>
    </row>
    <row r="6">
      <c r="A6" s="2" t="n">
        <v>5</v>
      </c>
      <c r="B6" s="7" t="inlineStr">
        <is>
          <t>BCE_to_1AD</t>
        </is>
      </c>
      <c r="C6" s="2" t="inlineStr">
        <is>
          <t>Prehistory / Neolithic</t>
        </is>
      </c>
      <c r="D6" s="2" t="inlineStr">
        <is>
          <t>Prehistory and Neolithic traditions</t>
        </is>
      </c>
      <c r="E6" s="2" t="n">
        <v>-9000</v>
      </c>
      <c r="F6" s="2" t="n">
        <v>-7000</v>
      </c>
      <c r="G6" s="2" t="inlineStr">
        <is>
          <t>c. 9000 BCE to 7000 BCE</t>
        </is>
      </c>
      <c r="H6" s="2" t="inlineStr">
        <is>
          <t>Jericho / Tell es-Sultan</t>
        </is>
      </c>
      <c r="I6" s="2" t="inlineStr">
        <is>
          <t>Site</t>
        </is>
      </c>
      <c r="J6" s="2" t="inlineStr">
        <is>
          <t>Archaeology</t>
        </is>
      </c>
      <c r="K6" s="2" t="inlineStr">
        <is>
          <t>Settlement</t>
        </is>
      </c>
      <c r="L6" s="2" t="inlineStr">
        <is>
          <t>Fortification</t>
        </is>
      </c>
      <c r="M6" s="2" t="inlineStr">
        <is>
          <t>Palestine</t>
        </is>
      </c>
      <c r="N6" s="2" t="inlineStr">
        <is>
          <t>Jordan Valley</t>
        </is>
      </c>
      <c r="O6" s="2" t="inlineStr">
        <is>
          <t>One of the earliest large sedentary settlements with tower and wall phases.</t>
        </is>
      </c>
      <c r="P6" s="2" t="inlineStr">
        <is>
          <t>Important for early urbanism and for later biblical geography overlap.</t>
        </is>
      </c>
      <c r="Q6" s="2" t="inlineStr">
        <is>
          <t>Medium</t>
        </is>
      </c>
      <c r="R6" s="2" t="inlineStr">
        <is>
          <t>Not applicable</t>
        </is>
      </c>
      <c r="S6" s="2" t="inlineStr">
        <is>
          <t>Medium</t>
        </is>
      </c>
      <c r="T6" s="2" t="inlineStr">
        <is>
          <t>UNESCO</t>
        </is>
      </c>
      <c r="U6" s="8" t="inlineStr">
        <is>
          <t>https://whc.unesco.org/</t>
        </is>
      </c>
      <c r="V6" s="2" t="inlineStr">
        <is>
          <t>UNESCO</t>
        </is>
      </c>
      <c r="W6" s="8" t="inlineStr">
        <is>
          <t>https://whc.unesco.org/</t>
        </is>
      </c>
      <c r="X6" s="2" t="inlineStr">
        <is>
          <t>Smithsonian Open Access</t>
        </is>
      </c>
      <c r="Y6" s="8" t="inlineStr">
        <is>
          <t>https://www.si.edu/openaccess</t>
        </is>
      </c>
      <c r="Z6" s="2" t="inlineStr">
        <is>
          <t>UNESCO</t>
        </is>
      </c>
      <c r="AA6" s="8" t="inlineStr">
        <is>
          <t>https://whc.unesco.org/</t>
        </is>
      </c>
      <c r="AB6" s="2" t="inlineStr">
        <is>
          <t>UNESCO</t>
        </is>
      </c>
      <c r="AC6" s="8" t="inlineStr">
        <is>
          <t>https://whc.unesco.org/</t>
        </is>
      </c>
      <c r="AD6" s="2" t="inlineStr">
        <is>
          <t>Jericho Tell es-Sultan UNESCO</t>
        </is>
      </c>
      <c r="AE6" s="2" t="inlineStr">
        <is>
          <t>Chronology depends on phase; cite excavated levels.</t>
        </is>
      </c>
      <c r="AF6" s="2" t="inlineStr">
        <is>
          <t>Origins of settlement; Levantine memory</t>
        </is>
      </c>
      <c r="AG6" s="2" t="inlineStr">
        <is>
          <t>High</t>
        </is>
      </c>
      <c r="AH6" s="2" t="inlineStr">
        <is>
          <t>Medium</t>
        </is>
      </c>
      <c r="AI6" s="2" t="inlineStr"/>
      <c r="AJ6" t="inlineStr">
        <is>
          <t>https://whc.unesco.org/en/search/?searchterm=Jericho+Tell+es-Sultan+UNESCO</t>
        </is>
      </c>
      <c r="AK6" t="inlineStr">
        <is>
          <t>https://whc.unesco.org/en/search/?searchterm=Jericho+Tell+es-Sultan+UNESCO</t>
        </is>
      </c>
      <c r="AL6" t="inlineStr">
        <is>
          <t>https://www.si.edu/collection/search?edan_q=Jericho+Tell+es-Sultan+UNESCO</t>
        </is>
      </c>
      <c r="AM6" t="inlineStr">
        <is>
          <t>https://whc.unesco.org/en/search/?searchterm=Jericho+Tell+es-Sultan+UNESCO</t>
        </is>
      </c>
      <c r="AN6" t="inlineStr">
        <is>
          <t>https://whc.unesco.org/en/search/?searchterm=Jericho+Tell+es-Sultan+UNESCO</t>
        </is>
      </c>
      <c r="AO6" t="inlineStr">
        <is>
          <t>1) Fact base: UNESCO. 2) Translation/text: UNESCO. 3) Images/objects: Smithsonian Open Access. 4) Context/explanation: UNESCO. 5) Geography/maps: UNESCO. Use Suggested_Search_Term inside each portal.</t>
        </is>
      </c>
      <c r="AP6" t="inlineStr">
        <is>
          <t>Mixed: direct portal homepages plus search-result URLs where the portal exposes a public search endpoint.</t>
        </is>
      </c>
    </row>
    <row r="7">
      <c r="A7" s="2" t="n">
        <v>6</v>
      </c>
      <c r="B7" s="7" t="inlineStr">
        <is>
          <t>BCE_to_1AD</t>
        </is>
      </c>
      <c r="C7" s="2" t="inlineStr">
        <is>
          <t>Prehistory / Neolithic</t>
        </is>
      </c>
      <c r="D7" s="2" t="inlineStr">
        <is>
          <t>Prehistory and Neolithic traditions</t>
        </is>
      </c>
      <c r="E7" s="2" t="n">
        <v>-7200</v>
      </c>
      <c r="F7" s="2" t="n">
        <v>-6500</v>
      </c>
      <c r="G7" s="2" t="inlineStr">
        <is>
          <t>c. 7200 BCE to 6500 BCE</t>
        </is>
      </c>
      <c r="H7" s="2" t="inlineStr">
        <is>
          <t>Ain Ghazal</t>
        </is>
      </c>
      <c r="I7" s="2" t="inlineStr">
        <is>
          <t>Site</t>
        </is>
      </c>
      <c r="J7" s="2" t="inlineStr">
        <is>
          <t>Archaeology</t>
        </is>
      </c>
      <c r="K7" s="2" t="inlineStr">
        <is>
          <t>Settlement</t>
        </is>
      </c>
      <c r="L7" s="2" t="inlineStr">
        <is>
          <t>Ritual</t>
        </is>
      </c>
      <c r="M7" s="2" t="inlineStr">
        <is>
          <t>Jordan</t>
        </is>
      </c>
      <c r="N7" s="2" t="inlineStr">
        <is>
          <t>Levant</t>
        </is>
      </c>
      <c r="O7" s="2" t="inlineStr">
        <is>
          <t>Neolithic settlement known for plaster statues and large-scale community occupation.</t>
        </is>
      </c>
      <c r="P7" s="2" t="inlineStr">
        <is>
          <t>Vital for studying ancestor imagery and ritualized human representation.</t>
        </is>
      </c>
      <c r="Q7" s="2" t="inlineStr">
        <is>
          <t>Medium</t>
        </is>
      </c>
      <c r="R7" s="2" t="inlineStr">
        <is>
          <t>Not applicable</t>
        </is>
      </c>
      <c r="S7" s="2" t="inlineStr">
        <is>
          <t>High</t>
        </is>
      </c>
      <c r="T7" s="2" t="inlineStr">
        <is>
          <t>UNESCO</t>
        </is>
      </c>
      <c r="U7" s="8" t="inlineStr">
        <is>
          <t>https://whc.unesco.org/</t>
        </is>
      </c>
      <c r="V7" s="2" t="inlineStr">
        <is>
          <t>UNESCO</t>
        </is>
      </c>
      <c r="W7" s="8" t="inlineStr">
        <is>
          <t>https://whc.unesco.org/</t>
        </is>
      </c>
      <c r="X7" s="2" t="inlineStr">
        <is>
          <t>Smithsonian Open Access</t>
        </is>
      </c>
      <c r="Y7" s="8" t="inlineStr">
        <is>
          <t>https://www.si.edu/openaccess</t>
        </is>
      </c>
      <c r="Z7" s="2" t="inlineStr">
        <is>
          <t>UNESCO</t>
        </is>
      </c>
      <c r="AA7" s="8" t="inlineStr">
        <is>
          <t>https://whc.unesco.org/</t>
        </is>
      </c>
      <c r="AB7" s="2" t="inlineStr">
        <is>
          <t>UNESCO</t>
        </is>
      </c>
      <c r="AC7" s="8" t="inlineStr">
        <is>
          <t>https://whc.unesco.org/</t>
        </is>
      </c>
      <c r="AD7" s="2" t="inlineStr">
        <is>
          <t>Ain Ghazal plaster statues</t>
        </is>
      </c>
      <c r="AE7" s="2" t="inlineStr">
        <is>
          <t>Statues are often decontextualized online; keep excavation context attached.</t>
        </is>
      </c>
      <c r="AF7" s="2" t="inlineStr">
        <is>
          <t>Ancestor cult; image traditions</t>
        </is>
      </c>
      <c r="AG7" s="2" t="inlineStr">
        <is>
          <t>High</t>
        </is>
      </c>
      <c r="AH7" s="2" t="inlineStr">
        <is>
          <t>Medium</t>
        </is>
      </c>
      <c r="AI7" s="2" t="inlineStr"/>
      <c r="AJ7" t="inlineStr">
        <is>
          <t>https://whc.unesco.org/en/search/?searchterm=Ain+Ghazal+plaster+statues</t>
        </is>
      </c>
      <c r="AK7" t="inlineStr">
        <is>
          <t>https://whc.unesco.org/en/search/?searchterm=Ain+Ghazal+plaster+statues</t>
        </is>
      </c>
      <c r="AL7" t="inlineStr">
        <is>
          <t>https://www.si.edu/collection/search?edan_q=Ain+Ghazal+plaster+statues</t>
        </is>
      </c>
      <c r="AM7" t="inlineStr">
        <is>
          <t>https://whc.unesco.org/en/search/?searchterm=Ain+Ghazal+plaster+statues</t>
        </is>
      </c>
      <c r="AN7" t="inlineStr">
        <is>
          <t>https://whc.unesco.org/en/search/?searchterm=Ain+Ghazal+plaster+statues</t>
        </is>
      </c>
      <c r="AO7" t="inlineStr">
        <is>
          <t>1) Fact base: UNESCO. 2) Translation/text: UNESCO. 3) Images/objects: Smithsonian Open Access. 4) Context/explanation: UNESCO. 5) Geography/maps: UNESCO. Use Suggested_Search_Term inside each portal.</t>
        </is>
      </c>
      <c r="AP7" t="inlineStr">
        <is>
          <t>Mixed: direct portal homepages plus search-result URLs where the portal exposes a public search endpoint.</t>
        </is>
      </c>
    </row>
    <row r="8">
      <c r="A8" s="2" t="n">
        <v>7</v>
      </c>
      <c r="B8" s="7" t="inlineStr">
        <is>
          <t>BCE_to_1AD</t>
        </is>
      </c>
      <c r="C8" s="2" t="inlineStr">
        <is>
          <t>Prehistory / Neolithic</t>
        </is>
      </c>
      <c r="D8" s="2" t="inlineStr">
        <is>
          <t>Prehistory and Neolithic traditions</t>
        </is>
      </c>
      <c r="E8" s="2" t="n">
        <v>-7000</v>
      </c>
      <c r="F8" s="2" t="n">
        <v>-4000</v>
      </c>
      <c r="G8" s="2" t="inlineStr">
        <is>
          <t>c. 7000 BCE to 4000 BCE</t>
        </is>
      </c>
      <c r="H8" s="2" t="inlineStr">
        <is>
          <t>Nabta Playa</t>
        </is>
      </c>
      <c r="I8" s="2" t="inlineStr">
        <is>
          <t>Site</t>
        </is>
      </c>
      <c r="J8" s="2" t="inlineStr">
        <is>
          <t>Archaeology</t>
        </is>
      </c>
      <c r="K8" s="2" t="inlineStr">
        <is>
          <t>Ritual</t>
        </is>
      </c>
      <c r="L8" s="2" t="inlineStr">
        <is>
          <t>Astronomy</t>
        </is>
      </c>
      <c r="M8" s="2" t="inlineStr">
        <is>
          <t>Egypt</t>
        </is>
      </c>
      <c r="N8" s="2" t="inlineStr">
        <is>
          <t>Nubian Desert</t>
        </is>
      </c>
      <c r="O8" s="2" t="inlineStr">
        <is>
          <t>Desert ceremonial and pastoral landscape with stone alignments and burials.</t>
        </is>
      </c>
      <c r="P8" s="2" t="inlineStr">
        <is>
          <t>Frequently cited in archaeoastronomy and pre-Egypt complexity discussions.</t>
        </is>
      </c>
      <c r="Q8" s="2" t="inlineStr">
        <is>
          <t>High</t>
        </is>
      </c>
      <c r="R8" s="2" t="inlineStr">
        <is>
          <t>Not applicable</t>
        </is>
      </c>
      <c r="S8" s="2" t="inlineStr">
        <is>
          <t>Medium</t>
        </is>
      </c>
      <c r="T8" s="2" t="inlineStr">
        <is>
          <t>UNESCO</t>
        </is>
      </c>
      <c r="U8" s="8" t="inlineStr">
        <is>
          <t>https://whc.unesco.org/</t>
        </is>
      </c>
      <c r="V8" s="2" t="inlineStr">
        <is>
          <t>UNESCO</t>
        </is>
      </c>
      <c r="W8" s="8" t="inlineStr">
        <is>
          <t>https://whc.unesco.org/</t>
        </is>
      </c>
      <c r="X8" s="2" t="inlineStr">
        <is>
          <t>Smithsonian Open Access</t>
        </is>
      </c>
      <c r="Y8" s="8" t="inlineStr">
        <is>
          <t>https://www.si.edu/openaccess</t>
        </is>
      </c>
      <c r="Z8" s="2" t="inlineStr">
        <is>
          <t>UNESCO</t>
        </is>
      </c>
      <c r="AA8" s="8" t="inlineStr">
        <is>
          <t>https://whc.unesco.org/</t>
        </is>
      </c>
      <c r="AB8" s="2" t="inlineStr">
        <is>
          <t>UNESCO</t>
        </is>
      </c>
      <c r="AC8" s="8" t="inlineStr">
        <is>
          <t>https://whc.unesco.org/</t>
        </is>
      </c>
      <c r="AD8" s="2" t="inlineStr">
        <is>
          <t>Nabta Playa megaliths</t>
        </is>
      </c>
      <c r="AE8" s="2" t="inlineStr">
        <is>
          <t>Astronomical claims vary; keep to excavated features first.</t>
        </is>
      </c>
      <c r="AF8" s="2" t="inlineStr">
        <is>
          <t>Sky knowledge; desert ritual</t>
        </is>
      </c>
      <c r="AG8" s="2" t="inlineStr">
        <is>
          <t>High</t>
        </is>
      </c>
      <c r="AH8" s="2" t="inlineStr">
        <is>
          <t>Medium</t>
        </is>
      </c>
      <c r="AI8" s="2" t="inlineStr"/>
      <c r="AJ8" t="inlineStr">
        <is>
          <t>https://whc.unesco.org/en/search/?searchterm=Nabta+Playa+megaliths</t>
        </is>
      </c>
      <c r="AK8" t="inlineStr">
        <is>
          <t>https://whc.unesco.org/en/search/?searchterm=Nabta+Playa+megaliths</t>
        </is>
      </c>
      <c r="AL8" t="inlineStr">
        <is>
          <t>https://www.si.edu/collection/search?edan_q=Nabta+Playa+megaliths</t>
        </is>
      </c>
      <c r="AM8" t="inlineStr">
        <is>
          <t>https://whc.unesco.org/en/search/?searchterm=Nabta+Playa+megaliths</t>
        </is>
      </c>
      <c r="AN8" t="inlineStr">
        <is>
          <t>https://whc.unesco.org/en/search/?searchterm=Nabta+Playa+megaliths</t>
        </is>
      </c>
      <c r="AO8" t="inlineStr">
        <is>
          <t>1) Fact base: UNESCO. 2) Translation/text: UNESCO. 3) Images/objects: Smithsonian Open Access. 4) Context/explanation: UNESCO. 5) Geography/maps: UNESCO. Use Suggested_Search_Term inside each portal.</t>
        </is>
      </c>
      <c r="AP8" t="inlineStr">
        <is>
          <t>Mixed: direct portal homepages plus search-result URLs where the portal exposes a public search endpoint.</t>
        </is>
      </c>
    </row>
    <row r="9">
      <c r="A9" s="2" t="n">
        <v>8</v>
      </c>
      <c r="B9" s="7" t="inlineStr">
        <is>
          <t>BCE_to_1AD</t>
        </is>
      </c>
      <c r="C9" s="2" t="inlineStr">
        <is>
          <t>Prehistory / Neolithic</t>
        </is>
      </c>
      <c r="D9" s="2" t="inlineStr">
        <is>
          <t>Prehistory and Neolithic traditions</t>
        </is>
      </c>
      <c r="E9" s="2" t="n">
        <v>-3600</v>
      </c>
      <c r="F9" s="2" t="n">
        <v>-2500</v>
      </c>
      <c r="G9" s="2" t="inlineStr">
        <is>
          <t>c. 3600 BCE to 2500 BCE</t>
        </is>
      </c>
      <c r="H9" s="2" t="inlineStr">
        <is>
          <t>Ggantija Temples</t>
        </is>
      </c>
      <c r="I9" s="2" t="inlineStr">
        <is>
          <t>Site</t>
        </is>
      </c>
      <c r="J9" s="2" t="inlineStr">
        <is>
          <t>Archaeology</t>
        </is>
      </c>
      <c r="K9" s="2" t="inlineStr">
        <is>
          <t>Megaliths</t>
        </is>
      </c>
      <c r="L9" s="2" t="inlineStr">
        <is>
          <t>Ritual</t>
        </is>
      </c>
      <c r="M9" s="2" t="inlineStr">
        <is>
          <t>Malta</t>
        </is>
      </c>
      <c r="N9" s="2" t="inlineStr">
        <is>
          <t>Gozo</t>
        </is>
      </c>
      <c r="O9" s="2" t="inlineStr">
        <is>
          <t>Megalithic temple complex built in the Maltese island tradition.</t>
        </is>
      </c>
      <c r="P9" s="2" t="inlineStr">
        <is>
          <t>Shows complex stone ritual architecture outside the Near East.</t>
        </is>
      </c>
      <c r="Q9" s="2" t="inlineStr">
        <is>
          <t>Medium</t>
        </is>
      </c>
      <c r="R9" s="2" t="inlineStr">
        <is>
          <t>Not applicable</t>
        </is>
      </c>
      <c r="S9" s="2" t="inlineStr">
        <is>
          <t>High</t>
        </is>
      </c>
      <c r="T9" s="2" t="inlineStr">
        <is>
          <t>UNESCO</t>
        </is>
      </c>
      <c r="U9" s="8" t="inlineStr">
        <is>
          <t>https://whc.unesco.org/</t>
        </is>
      </c>
      <c r="V9" s="2" t="inlineStr">
        <is>
          <t>UNESCO</t>
        </is>
      </c>
      <c r="W9" s="8" t="inlineStr">
        <is>
          <t>https://whc.unesco.org/</t>
        </is>
      </c>
      <c r="X9" s="2" t="inlineStr">
        <is>
          <t>Smithsonian Open Access</t>
        </is>
      </c>
      <c r="Y9" s="8" t="inlineStr">
        <is>
          <t>https://www.si.edu/openaccess</t>
        </is>
      </c>
      <c r="Z9" s="2" t="inlineStr">
        <is>
          <t>UNESCO</t>
        </is>
      </c>
      <c r="AA9" s="8" t="inlineStr">
        <is>
          <t>https://whc.unesco.org/</t>
        </is>
      </c>
      <c r="AB9" s="2" t="inlineStr">
        <is>
          <t>UNESCO</t>
        </is>
      </c>
      <c r="AC9" s="8" t="inlineStr">
        <is>
          <t>https://whc.unesco.org/</t>
        </is>
      </c>
      <c r="AD9" s="2" t="inlineStr">
        <is>
          <t>Ggantija UNESCO</t>
        </is>
      </c>
      <c r="AE9" s="2" t="inlineStr">
        <is>
          <t>Use temple sequence and island context together.</t>
        </is>
      </c>
      <c r="AF9" s="2" t="inlineStr">
        <is>
          <t>Temple architecture; island cults</t>
        </is>
      </c>
      <c r="AG9" s="2" t="inlineStr">
        <is>
          <t>Medium</t>
        </is>
      </c>
      <c r="AH9" s="2" t="inlineStr">
        <is>
          <t>Medium</t>
        </is>
      </c>
      <c r="AI9" s="2" t="inlineStr"/>
      <c r="AJ9" t="inlineStr">
        <is>
          <t>https://whc.unesco.org/en/search/?searchterm=Ggantija+UNESCO</t>
        </is>
      </c>
      <c r="AK9" t="inlineStr">
        <is>
          <t>https://whc.unesco.org/en/search/?searchterm=Ggantija+UNESCO</t>
        </is>
      </c>
      <c r="AL9" t="inlineStr">
        <is>
          <t>https://www.si.edu/collection/search?edan_q=Ggantija+UNESCO</t>
        </is>
      </c>
      <c r="AM9" t="inlineStr">
        <is>
          <t>https://whc.unesco.org/en/search/?searchterm=Ggantija+UNESCO</t>
        </is>
      </c>
      <c r="AN9" t="inlineStr">
        <is>
          <t>https://whc.unesco.org/en/search/?searchterm=Ggantija+UNESCO</t>
        </is>
      </c>
      <c r="AO9" t="inlineStr">
        <is>
          <t>1) Fact base: UNESCO. 2) Translation/text: UNESCO. 3) Images/objects: Smithsonian Open Access. 4) Context/explanation: UNESCO. 5) Geography/maps: UNESCO. Use Suggested_Search_Term inside each portal.</t>
        </is>
      </c>
      <c r="AP9" t="inlineStr">
        <is>
          <t>Mixed: direct portal homepages plus search-result URLs where the portal exposes a public search endpoint.</t>
        </is>
      </c>
    </row>
    <row r="10">
      <c r="A10" s="2" t="n">
        <v>9</v>
      </c>
      <c r="B10" s="7" t="inlineStr">
        <is>
          <t>BCE_to_1AD</t>
        </is>
      </c>
      <c r="C10" s="2" t="inlineStr">
        <is>
          <t>Prehistory / Neolithic</t>
        </is>
      </c>
      <c r="D10" s="2" t="inlineStr">
        <is>
          <t>Prehistory and Neolithic traditions</t>
        </is>
      </c>
      <c r="E10" s="2" t="n">
        <v>-3600</v>
      </c>
      <c r="F10" s="2" t="n">
        <v>-3000</v>
      </c>
      <c r="G10" s="2" t="inlineStr">
        <is>
          <t>c. 3600 BCE to 3000 BCE</t>
        </is>
      </c>
      <c r="H10" s="2" t="inlineStr">
        <is>
          <t>Hagar Qim</t>
        </is>
      </c>
      <c r="I10" s="2" t="inlineStr">
        <is>
          <t>Site</t>
        </is>
      </c>
      <c r="J10" s="2" t="inlineStr">
        <is>
          <t>Archaeology</t>
        </is>
      </c>
      <c r="K10" s="2" t="inlineStr">
        <is>
          <t>Megaliths</t>
        </is>
      </c>
      <c r="L10" s="2" t="inlineStr">
        <is>
          <t>Ritual</t>
        </is>
      </c>
      <c r="M10" s="2" t="inlineStr">
        <is>
          <t>Malta</t>
        </is>
      </c>
      <c r="N10" s="2" t="inlineStr">
        <is>
          <t>Malta island</t>
        </is>
      </c>
      <c r="O10" s="2" t="inlineStr">
        <is>
          <t>Megalithic temple site with carved stone, altars, and figurines.</t>
        </is>
      </c>
      <c r="P10" s="2" t="inlineStr">
        <is>
          <t>Often cited in megalithic diffusion theories; worth grounding in island chronology.</t>
        </is>
      </c>
      <c r="Q10" s="2" t="inlineStr">
        <is>
          <t>Medium</t>
        </is>
      </c>
      <c r="R10" s="2" t="inlineStr">
        <is>
          <t>Not applicable</t>
        </is>
      </c>
      <c r="S10" s="2" t="inlineStr">
        <is>
          <t>High</t>
        </is>
      </c>
      <c r="T10" s="2" t="inlineStr">
        <is>
          <t>UNESCO</t>
        </is>
      </c>
      <c r="U10" s="8" t="inlineStr">
        <is>
          <t>https://whc.unesco.org/</t>
        </is>
      </c>
      <c r="V10" s="2" t="inlineStr">
        <is>
          <t>UNESCO</t>
        </is>
      </c>
      <c r="W10" s="8" t="inlineStr">
        <is>
          <t>https://whc.unesco.org/</t>
        </is>
      </c>
      <c r="X10" s="2" t="inlineStr">
        <is>
          <t>Smithsonian Open Access</t>
        </is>
      </c>
      <c r="Y10" s="8" t="inlineStr">
        <is>
          <t>https://www.si.edu/openaccess</t>
        </is>
      </c>
      <c r="Z10" s="2" t="inlineStr">
        <is>
          <t>UNESCO</t>
        </is>
      </c>
      <c r="AA10" s="8" t="inlineStr">
        <is>
          <t>https://whc.unesco.org/</t>
        </is>
      </c>
      <c r="AB10" s="2" t="inlineStr">
        <is>
          <t>UNESCO</t>
        </is>
      </c>
      <c r="AC10" s="8" t="inlineStr">
        <is>
          <t>https://whc.unesco.org/</t>
        </is>
      </c>
      <c r="AD10" s="2" t="inlineStr">
        <is>
          <t>Hagar Qim UNESCO</t>
        </is>
      </c>
      <c r="AE10" s="2" t="inlineStr">
        <is>
          <t>Best used with Mnajdra and Hypogeum together.</t>
        </is>
      </c>
      <c r="AF10" s="2" t="inlineStr">
        <is>
          <t>Temple architecture; figurines</t>
        </is>
      </c>
      <c r="AG10" s="2" t="inlineStr">
        <is>
          <t>Medium</t>
        </is>
      </c>
      <c r="AH10" s="2" t="inlineStr">
        <is>
          <t>Medium</t>
        </is>
      </c>
      <c r="AI10" s="2" t="inlineStr"/>
      <c r="AJ10" t="inlineStr">
        <is>
          <t>https://whc.unesco.org/en/search/?searchterm=Hagar+Qim+UNESCO</t>
        </is>
      </c>
      <c r="AK10" t="inlineStr">
        <is>
          <t>https://whc.unesco.org/en/search/?searchterm=Hagar+Qim+UNESCO</t>
        </is>
      </c>
      <c r="AL10" t="inlineStr">
        <is>
          <t>https://www.si.edu/collection/search?edan_q=Hagar+Qim+UNESCO</t>
        </is>
      </c>
      <c r="AM10" t="inlineStr">
        <is>
          <t>https://whc.unesco.org/en/search/?searchterm=Hagar+Qim+UNESCO</t>
        </is>
      </c>
      <c r="AN10" t="inlineStr">
        <is>
          <t>https://whc.unesco.org/en/search/?searchterm=Hagar+Qim+UNESCO</t>
        </is>
      </c>
      <c r="AO10" t="inlineStr">
        <is>
          <t>1) Fact base: UNESCO. 2) Translation/text: UNESCO. 3) Images/objects: Smithsonian Open Access. 4) Context/explanation: UNESCO. 5) Geography/maps: UNESCO. Use Suggested_Search_Term inside each portal.</t>
        </is>
      </c>
      <c r="AP10" t="inlineStr">
        <is>
          <t>Mixed: direct portal homepages plus search-result URLs where the portal exposes a public search endpoint.</t>
        </is>
      </c>
    </row>
    <row r="11">
      <c r="A11" s="2" t="n">
        <v>10</v>
      </c>
      <c r="B11" s="7" t="inlineStr">
        <is>
          <t>BCE_to_1AD</t>
        </is>
      </c>
      <c r="C11" s="2" t="inlineStr">
        <is>
          <t>Prehistory / Neolithic</t>
        </is>
      </c>
      <c r="D11" s="2" t="inlineStr">
        <is>
          <t>Prehistory and Neolithic traditions</t>
        </is>
      </c>
      <c r="E11" s="2" t="n">
        <v>-3600</v>
      </c>
      <c r="F11" s="2" t="n">
        <v>-2500</v>
      </c>
      <c r="G11" s="2" t="inlineStr">
        <is>
          <t>c. 3600 BCE to 2500 BCE</t>
        </is>
      </c>
      <c r="H11" s="2" t="inlineStr">
        <is>
          <t>Mnajdra</t>
        </is>
      </c>
      <c r="I11" s="2" t="inlineStr">
        <is>
          <t>Site</t>
        </is>
      </c>
      <c r="J11" s="2" t="inlineStr">
        <is>
          <t>Archaeology</t>
        </is>
      </c>
      <c r="K11" s="2" t="inlineStr">
        <is>
          <t>Megaliths</t>
        </is>
      </c>
      <c r="L11" s="2" t="inlineStr">
        <is>
          <t>Astronomy</t>
        </is>
      </c>
      <c r="M11" s="2" t="inlineStr">
        <is>
          <t>Malta</t>
        </is>
      </c>
      <c r="N11" s="2" t="inlineStr">
        <is>
          <t>Malta island</t>
        </is>
      </c>
      <c r="O11" s="2" t="inlineStr">
        <is>
          <t>Temple complex often discussed for solar alignment and ritual architecture.</t>
        </is>
      </c>
      <c r="P11" s="2" t="inlineStr">
        <is>
          <t>Useful when tracking archaeoastronomy claims against official site interpretation.</t>
        </is>
      </c>
      <c r="Q11" s="2" t="inlineStr">
        <is>
          <t>High</t>
        </is>
      </c>
      <c r="R11" s="2" t="inlineStr">
        <is>
          <t>Not applicable</t>
        </is>
      </c>
      <c r="S11" s="2" t="inlineStr">
        <is>
          <t>High</t>
        </is>
      </c>
      <c r="T11" s="2" t="inlineStr">
        <is>
          <t>UNESCO</t>
        </is>
      </c>
      <c r="U11" s="8" t="inlineStr">
        <is>
          <t>https://whc.unesco.org/</t>
        </is>
      </c>
      <c r="V11" s="2" t="inlineStr">
        <is>
          <t>UNESCO</t>
        </is>
      </c>
      <c r="W11" s="8" t="inlineStr">
        <is>
          <t>https://whc.unesco.org/</t>
        </is>
      </c>
      <c r="X11" s="2" t="inlineStr">
        <is>
          <t>Smithsonian Open Access</t>
        </is>
      </c>
      <c r="Y11" s="8" t="inlineStr">
        <is>
          <t>https://www.si.edu/openaccess</t>
        </is>
      </c>
      <c r="Z11" s="2" t="inlineStr">
        <is>
          <t>UNESCO</t>
        </is>
      </c>
      <c r="AA11" s="8" t="inlineStr">
        <is>
          <t>https://whc.unesco.org/</t>
        </is>
      </c>
      <c r="AB11" s="2" t="inlineStr">
        <is>
          <t>UNESCO</t>
        </is>
      </c>
      <c r="AC11" s="8" t="inlineStr">
        <is>
          <t>https://whc.unesco.org/</t>
        </is>
      </c>
      <c r="AD11" s="2" t="inlineStr">
        <is>
          <t>Mnajdra UNESCO</t>
        </is>
      </c>
      <c r="AE11" s="2" t="inlineStr">
        <is>
          <t>Separate measured alignments from speculative claims.</t>
        </is>
      </c>
      <c r="AF11" s="2" t="inlineStr">
        <is>
          <t>Solar alignment; temple ritual</t>
        </is>
      </c>
      <c r="AG11" s="2" t="inlineStr">
        <is>
          <t>Medium</t>
        </is>
      </c>
      <c r="AH11" s="2" t="inlineStr">
        <is>
          <t>Medium</t>
        </is>
      </c>
      <c r="AI11" s="2" t="inlineStr"/>
      <c r="AJ11" t="inlineStr">
        <is>
          <t>https://whc.unesco.org/en/search/?searchterm=Mnajdra+UNESCO</t>
        </is>
      </c>
      <c r="AK11" t="inlineStr">
        <is>
          <t>https://whc.unesco.org/en/search/?searchterm=Mnajdra+UNESCO</t>
        </is>
      </c>
      <c r="AL11" t="inlineStr">
        <is>
          <t>https://www.si.edu/collection/search?edan_q=Mnajdra+UNESCO</t>
        </is>
      </c>
      <c r="AM11" t="inlineStr">
        <is>
          <t>https://whc.unesco.org/en/search/?searchterm=Mnajdra+UNESCO</t>
        </is>
      </c>
      <c r="AN11" t="inlineStr">
        <is>
          <t>https://whc.unesco.org/en/search/?searchterm=Mnajdra+UNESCO</t>
        </is>
      </c>
      <c r="AO11" t="inlineStr">
        <is>
          <t>1) Fact base: UNESCO. 2) Translation/text: UNESCO. 3) Images/objects: Smithsonian Open Access. 4) Context/explanation: UNESCO. 5) Geography/maps: UNESCO. Use Suggested_Search_Term inside each portal.</t>
        </is>
      </c>
      <c r="AP11" t="inlineStr">
        <is>
          <t>Mixed: direct portal homepages plus search-result URLs where the portal exposes a public search endpoint.</t>
        </is>
      </c>
    </row>
    <row r="12">
      <c r="A12" s="2" t="n">
        <v>11</v>
      </c>
      <c r="B12" s="7" t="inlineStr">
        <is>
          <t>BCE_to_1AD</t>
        </is>
      </c>
      <c r="C12" s="2" t="inlineStr">
        <is>
          <t>Prehistory / Neolithic</t>
        </is>
      </c>
      <c r="D12" s="2" t="inlineStr">
        <is>
          <t>Prehistory and Neolithic traditions</t>
        </is>
      </c>
      <c r="E12" s="2" t="n">
        <v>-4000</v>
      </c>
      <c r="F12" s="2" t="n">
        <v>-2500</v>
      </c>
      <c r="G12" s="2" t="inlineStr">
        <is>
          <t>c. 4000 BCE to 2500 BCE</t>
        </is>
      </c>
      <c r="H12" s="2" t="inlineStr">
        <is>
          <t>Hal Saflieni Hypogeum</t>
        </is>
      </c>
      <c r="I12" s="2" t="inlineStr">
        <is>
          <t>Site</t>
        </is>
      </c>
      <c r="J12" s="2" t="inlineStr">
        <is>
          <t>Archaeology</t>
        </is>
      </c>
      <c r="K12" s="2" t="inlineStr">
        <is>
          <t>Megaliths</t>
        </is>
      </c>
      <c r="L12" s="2" t="inlineStr">
        <is>
          <t>Burial</t>
        </is>
      </c>
      <c r="M12" s="2" t="inlineStr">
        <is>
          <t>Malta</t>
        </is>
      </c>
      <c r="N12" s="2" t="inlineStr">
        <is>
          <t>Malta island</t>
        </is>
      </c>
      <c r="O12" s="2" t="inlineStr">
        <is>
          <t>Rock-cut subterranean ritual and burial complex.</t>
        </is>
      </c>
      <c r="P12" s="2" t="inlineStr">
        <is>
          <t>Important for underground ritual architecture and acoustics discussions.</t>
        </is>
      </c>
      <c r="Q12" s="2" t="inlineStr">
        <is>
          <t>High</t>
        </is>
      </c>
      <c r="R12" s="2" t="inlineStr">
        <is>
          <t>Not applicable</t>
        </is>
      </c>
      <c r="S12" s="2" t="inlineStr">
        <is>
          <t>Medium</t>
        </is>
      </c>
      <c r="T12" s="2" t="inlineStr">
        <is>
          <t>UNESCO</t>
        </is>
      </c>
      <c r="U12" s="8" t="inlineStr">
        <is>
          <t>https://whc.unesco.org/</t>
        </is>
      </c>
      <c r="V12" s="2" t="inlineStr">
        <is>
          <t>UNESCO</t>
        </is>
      </c>
      <c r="W12" s="8" t="inlineStr">
        <is>
          <t>https://whc.unesco.org/</t>
        </is>
      </c>
      <c r="X12" s="2" t="inlineStr">
        <is>
          <t>Smithsonian Open Access</t>
        </is>
      </c>
      <c r="Y12" s="8" t="inlineStr">
        <is>
          <t>https://www.si.edu/openaccess</t>
        </is>
      </c>
      <c r="Z12" s="2" t="inlineStr">
        <is>
          <t>UNESCO</t>
        </is>
      </c>
      <c r="AA12" s="8" t="inlineStr">
        <is>
          <t>https://whc.unesco.org/</t>
        </is>
      </c>
      <c r="AB12" s="2" t="inlineStr">
        <is>
          <t>UNESCO</t>
        </is>
      </c>
      <c r="AC12" s="8" t="inlineStr">
        <is>
          <t>https://whc.unesco.org/</t>
        </is>
      </c>
      <c r="AD12" s="2" t="inlineStr">
        <is>
          <t>Hypogeum UNESCO</t>
        </is>
      </c>
      <c r="AE12" s="2" t="inlineStr">
        <is>
          <t>Acoustics claims should be tied to measured studies where possible.</t>
        </is>
      </c>
      <c r="AF12" s="2" t="inlineStr">
        <is>
          <t>Underworld symbolism; ritual space</t>
        </is>
      </c>
      <c r="AG12" s="2" t="inlineStr">
        <is>
          <t>Medium</t>
        </is>
      </c>
      <c r="AH12" s="2" t="inlineStr">
        <is>
          <t>Medium</t>
        </is>
      </c>
      <c r="AI12" s="2" t="inlineStr"/>
      <c r="AJ12" t="inlineStr">
        <is>
          <t>https://whc.unesco.org/en/search/?searchterm=Hypogeum+UNESCO</t>
        </is>
      </c>
      <c r="AK12" t="inlineStr">
        <is>
          <t>https://whc.unesco.org/en/search/?searchterm=Hypogeum+UNESCO</t>
        </is>
      </c>
      <c r="AL12" t="inlineStr">
        <is>
          <t>https://www.si.edu/collection/search?edan_q=Hypogeum+UNESCO</t>
        </is>
      </c>
      <c r="AM12" t="inlineStr">
        <is>
          <t>https://whc.unesco.org/en/search/?searchterm=Hypogeum+UNESCO</t>
        </is>
      </c>
      <c r="AN12" t="inlineStr">
        <is>
          <t>https://whc.unesco.org/en/search/?searchterm=Hypogeum+UNESCO</t>
        </is>
      </c>
      <c r="AO12" t="inlineStr">
        <is>
          <t>1) Fact base: UNESCO. 2) Translation/text: UNESCO. 3) Images/objects: Smithsonian Open Access. 4) Context/explanation: UNESCO. 5) Geography/maps: UNESCO. Use Suggested_Search_Term inside each portal.</t>
        </is>
      </c>
      <c r="AP12" t="inlineStr">
        <is>
          <t>Mixed: direct portal homepages plus search-result URLs where the portal exposes a public search endpoint.</t>
        </is>
      </c>
    </row>
    <row r="13">
      <c r="A13" s="2" t="n">
        <v>12</v>
      </c>
      <c r="B13" s="7" t="inlineStr">
        <is>
          <t>BCE_to_1AD</t>
        </is>
      </c>
      <c r="C13" s="2" t="inlineStr">
        <is>
          <t>Prehistory / Neolithic</t>
        </is>
      </c>
      <c r="D13" s="2" t="inlineStr">
        <is>
          <t>Prehistory and Neolithic traditions</t>
        </is>
      </c>
      <c r="E13" s="2" t="n">
        <v>-3000</v>
      </c>
      <c r="F13" s="2" t="n">
        <v>-1500</v>
      </c>
      <c r="G13" s="2" t="inlineStr">
        <is>
          <t>c. 3000 BCE to 1500 BCE</t>
        </is>
      </c>
      <c r="H13" s="2" t="inlineStr">
        <is>
          <t>Stonehenge</t>
        </is>
      </c>
      <c r="I13" s="2" t="inlineStr">
        <is>
          <t>Site</t>
        </is>
      </c>
      <c r="J13" s="2" t="inlineStr">
        <is>
          <t>Archaeology</t>
        </is>
      </c>
      <c r="K13" s="2" t="inlineStr">
        <is>
          <t>Megaliths</t>
        </is>
      </c>
      <c r="L13" s="2" t="inlineStr">
        <is>
          <t>Astronomy</t>
        </is>
      </c>
      <c r="M13" s="2" t="inlineStr">
        <is>
          <t>United Kingdom</t>
        </is>
      </c>
      <c r="N13" s="2" t="inlineStr">
        <is>
          <t>Wessex</t>
        </is>
      </c>
      <c r="O13" s="2" t="inlineStr">
        <is>
          <t>Monumental stone circle built in multiple phases.</t>
        </is>
      </c>
      <c r="P13" s="2" t="inlineStr">
        <is>
          <t>Central to global megalithic and archaeoastronomy comparisons.</t>
        </is>
      </c>
      <c r="Q13" s="2" t="inlineStr">
        <is>
          <t>High</t>
        </is>
      </c>
      <c r="R13" s="2" t="inlineStr">
        <is>
          <t>Not applicable</t>
        </is>
      </c>
      <c r="S13" s="2" t="inlineStr">
        <is>
          <t>High</t>
        </is>
      </c>
      <c r="T13" s="2" t="inlineStr">
        <is>
          <t>UNESCO</t>
        </is>
      </c>
      <c r="U13" s="8" t="inlineStr">
        <is>
          <t>https://whc.unesco.org/</t>
        </is>
      </c>
      <c r="V13" s="2" t="inlineStr">
        <is>
          <t>UNESCO</t>
        </is>
      </c>
      <c r="W13" s="8" t="inlineStr">
        <is>
          <t>https://whc.unesco.org/</t>
        </is>
      </c>
      <c r="X13" s="2" t="inlineStr">
        <is>
          <t>Smithsonian Open Access</t>
        </is>
      </c>
      <c r="Y13" s="8" t="inlineStr">
        <is>
          <t>https://www.si.edu/openaccess</t>
        </is>
      </c>
      <c r="Z13" s="2" t="inlineStr">
        <is>
          <t>UNESCO</t>
        </is>
      </c>
      <c r="AA13" s="8" t="inlineStr">
        <is>
          <t>https://whc.unesco.org/</t>
        </is>
      </c>
      <c r="AB13" s="2" t="inlineStr">
        <is>
          <t>UNESCO</t>
        </is>
      </c>
      <c r="AC13" s="8" t="inlineStr">
        <is>
          <t>https://whc.unesco.org/</t>
        </is>
      </c>
      <c r="AD13" s="2" t="inlineStr">
        <is>
          <t>Stonehenge UNESCO</t>
        </is>
      </c>
      <c r="AE13" s="2" t="inlineStr">
        <is>
          <t>Keep phase chronology explicit; many popular claims flatten the sequence.</t>
        </is>
      </c>
      <c r="AF13" s="2" t="inlineStr">
        <is>
          <t>Solar/lunar cycles; ritual landscape</t>
        </is>
      </c>
      <c r="AG13" s="2" t="inlineStr">
        <is>
          <t>Critical</t>
        </is>
      </c>
      <c r="AH13" s="2" t="inlineStr">
        <is>
          <t>High</t>
        </is>
      </c>
      <c r="AI13" s="2" t="inlineStr"/>
      <c r="AJ13" t="inlineStr">
        <is>
          <t>https://whc.unesco.org/en/search/?searchterm=Stonehenge+UNESCO</t>
        </is>
      </c>
      <c r="AK13" t="inlineStr">
        <is>
          <t>https://whc.unesco.org/en/search/?searchterm=Stonehenge+UNESCO</t>
        </is>
      </c>
      <c r="AL13" t="inlineStr">
        <is>
          <t>https://www.si.edu/collection/search?edan_q=Stonehenge+UNESCO</t>
        </is>
      </c>
      <c r="AM13" t="inlineStr">
        <is>
          <t>https://whc.unesco.org/en/search/?searchterm=Stonehenge+UNESCO</t>
        </is>
      </c>
      <c r="AN13" t="inlineStr">
        <is>
          <t>https://whc.unesco.org/en/search/?searchterm=Stonehenge+UNESCO</t>
        </is>
      </c>
      <c r="AO13" t="inlineStr">
        <is>
          <t>1) Fact base: UNESCO. 2) Translation/text: UNESCO. 3) Images/objects: Smithsonian Open Access. 4) Context/explanation: UNESCO. 5) Geography/maps: UNESCO. Use Suggested_Search_Term inside each portal.</t>
        </is>
      </c>
      <c r="AP13" t="inlineStr">
        <is>
          <t>Mixed: direct portal homepages plus search-result URLs where the portal exposes a public search endpoint.</t>
        </is>
      </c>
    </row>
    <row r="14">
      <c r="A14" s="2" t="n">
        <v>13</v>
      </c>
      <c r="B14" s="7" t="inlineStr">
        <is>
          <t>BCE_to_1AD</t>
        </is>
      </c>
      <c r="C14" s="2" t="inlineStr">
        <is>
          <t>Prehistory / Neolithic</t>
        </is>
      </c>
      <c r="D14" s="2" t="inlineStr">
        <is>
          <t>Prehistory and Neolithic traditions</t>
        </is>
      </c>
      <c r="E14" s="2" t="n">
        <v>-2850</v>
      </c>
      <c r="F14" s="2" t="n">
        <v>-2200</v>
      </c>
      <c r="G14" s="2" t="inlineStr">
        <is>
          <t>c. 2850 BCE to 2200 BCE</t>
        </is>
      </c>
      <c r="H14" s="2" t="inlineStr">
        <is>
          <t>Avebury</t>
        </is>
      </c>
      <c r="I14" s="2" t="inlineStr">
        <is>
          <t>Site</t>
        </is>
      </c>
      <c r="J14" s="2" t="inlineStr">
        <is>
          <t>Archaeology</t>
        </is>
      </c>
      <c r="K14" s="2" t="inlineStr">
        <is>
          <t>Megaliths</t>
        </is>
      </c>
      <c r="L14" s="2" t="inlineStr">
        <is>
          <t>Landscape</t>
        </is>
      </c>
      <c r="M14" s="2" t="inlineStr">
        <is>
          <t>United Kingdom</t>
        </is>
      </c>
      <c r="N14" s="2" t="inlineStr">
        <is>
          <t>Wiltshire</t>
        </is>
      </c>
      <c r="O14" s="2" t="inlineStr">
        <is>
          <t>Large henge and stone-circle landscape associated with long-term ceremonial use.</t>
        </is>
      </c>
      <c r="P14" s="2" t="inlineStr">
        <is>
          <t>Shows ritual landscapes larger than a single monument.</t>
        </is>
      </c>
      <c r="Q14" s="2" t="inlineStr">
        <is>
          <t>Medium</t>
        </is>
      </c>
      <c r="R14" s="2" t="inlineStr">
        <is>
          <t>Not applicable</t>
        </is>
      </c>
      <c r="S14" s="2" t="inlineStr">
        <is>
          <t>High</t>
        </is>
      </c>
      <c r="T14" s="2" t="inlineStr">
        <is>
          <t>UNESCO</t>
        </is>
      </c>
      <c r="U14" s="8" t="inlineStr">
        <is>
          <t>https://whc.unesco.org/</t>
        </is>
      </c>
      <c r="V14" s="2" t="inlineStr">
        <is>
          <t>UNESCO</t>
        </is>
      </c>
      <c r="W14" s="8" t="inlineStr">
        <is>
          <t>https://whc.unesco.org/</t>
        </is>
      </c>
      <c r="X14" s="2" t="inlineStr">
        <is>
          <t>Smithsonian Open Access</t>
        </is>
      </c>
      <c r="Y14" s="8" t="inlineStr">
        <is>
          <t>https://www.si.edu/openaccess</t>
        </is>
      </c>
      <c r="Z14" s="2" t="inlineStr">
        <is>
          <t>UNESCO</t>
        </is>
      </c>
      <c r="AA14" s="8" t="inlineStr">
        <is>
          <t>https://whc.unesco.org/</t>
        </is>
      </c>
      <c r="AB14" s="2" t="inlineStr">
        <is>
          <t>UNESCO</t>
        </is>
      </c>
      <c r="AC14" s="8" t="inlineStr">
        <is>
          <t>https://whc.unesco.org/</t>
        </is>
      </c>
      <c r="AD14" s="2" t="inlineStr">
        <is>
          <t>Avebury UNESCO</t>
        </is>
      </c>
      <c r="AE14" s="2" t="inlineStr">
        <is>
          <t>Best read together with Silbury Hill and Windmill Hill context.</t>
        </is>
      </c>
      <c r="AF14" s="2" t="inlineStr">
        <is>
          <t>Ritual landscape; processional routes</t>
        </is>
      </c>
      <c r="AG14" s="2" t="inlineStr">
        <is>
          <t>Medium</t>
        </is>
      </c>
      <c r="AH14" s="2" t="inlineStr">
        <is>
          <t>Medium</t>
        </is>
      </c>
      <c r="AI14" s="2" t="inlineStr"/>
      <c r="AJ14" t="inlineStr">
        <is>
          <t>https://whc.unesco.org/en/search/?searchterm=Avebury+UNESCO</t>
        </is>
      </c>
      <c r="AK14" t="inlineStr">
        <is>
          <t>https://whc.unesco.org/en/search/?searchterm=Avebury+UNESCO</t>
        </is>
      </c>
      <c r="AL14" t="inlineStr">
        <is>
          <t>https://www.si.edu/collection/search?edan_q=Avebury+UNESCO</t>
        </is>
      </c>
      <c r="AM14" t="inlineStr">
        <is>
          <t>https://whc.unesco.org/en/search/?searchterm=Avebury+UNESCO</t>
        </is>
      </c>
      <c r="AN14" t="inlineStr">
        <is>
          <t>https://whc.unesco.org/en/search/?searchterm=Avebury+UNESCO</t>
        </is>
      </c>
      <c r="AO14" t="inlineStr">
        <is>
          <t>1) Fact base: UNESCO. 2) Translation/text: UNESCO. 3) Images/objects: Smithsonian Open Access. 4) Context/explanation: UNESCO. 5) Geography/maps: UNESCO. Use Suggested_Search_Term inside each portal.</t>
        </is>
      </c>
      <c r="AP14" t="inlineStr">
        <is>
          <t>Mixed: direct portal homepages plus search-result URLs where the portal exposes a public search endpoint.</t>
        </is>
      </c>
    </row>
    <row r="15">
      <c r="A15" s="2" t="n">
        <v>14</v>
      </c>
      <c r="B15" s="7" t="inlineStr">
        <is>
          <t>BCE_to_1AD</t>
        </is>
      </c>
      <c r="C15" s="2" t="inlineStr">
        <is>
          <t>Prehistory / Neolithic</t>
        </is>
      </c>
      <c r="D15" s="2" t="inlineStr">
        <is>
          <t>Prehistory and Neolithic traditions</t>
        </is>
      </c>
      <c r="E15" s="2" t="n">
        <v>-4500</v>
      </c>
      <c r="F15" s="2" t="n">
        <v>-3300</v>
      </c>
      <c r="G15" s="2" t="inlineStr">
        <is>
          <t>c. 4500 BCE to 3300 BCE</t>
        </is>
      </c>
      <c r="H15" s="2" t="inlineStr">
        <is>
          <t>Carnac Stones</t>
        </is>
      </c>
      <c r="I15" s="2" t="inlineStr">
        <is>
          <t>Site</t>
        </is>
      </c>
      <c r="J15" s="2" t="inlineStr">
        <is>
          <t>Archaeology</t>
        </is>
      </c>
      <c r="K15" s="2" t="inlineStr">
        <is>
          <t>Megaliths</t>
        </is>
      </c>
      <c r="L15" s="2" t="inlineStr">
        <is>
          <t>Landscape</t>
        </is>
      </c>
      <c r="M15" s="2" t="inlineStr">
        <is>
          <t>France</t>
        </is>
      </c>
      <c r="N15" s="2" t="inlineStr">
        <is>
          <t>Brittany</t>
        </is>
      </c>
      <c r="O15" s="2" t="inlineStr">
        <is>
          <t>Long alignments of standing stones and associated monuments.</t>
        </is>
      </c>
      <c r="P15" s="2" t="inlineStr">
        <is>
          <t>Often used in global megalith comparisons and lost-civilization pattern claims.</t>
        </is>
      </c>
      <c r="Q15" s="2" t="inlineStr">
        <is>
          <t>Medium</t>
        </is>
      </c>
      <c r="R15" s="2" t="inlineStr">
        <is>
          <t>Not applicable</t>
        </is>
      </c>
      <c r="S15" s="2" t="inlineStr">
        <is>
          <t>Medium</t>
        </is>
      </c>
      <c r="T15" s="2" t="inlineStr">
        <is>
          <t>UNESCO</t>
        </is>
      </c>
      <c r="U15" s="8" t="inlineStr">
        <is>
          <t>https://whc.unesco.org/</t>
        </is>
      </c>
      <c r="V15" s="2" t="inlineStr">
        <is>
          <t>UNESCO</t>
        </is>
      </c>
      <c r="W15" s="8" t="inlineStr">
        <is>
          <t>https://whc.unesco.org/</t>
        </is>
      </c>
      <c r="X15" s="2" t="inlineStr">
        <is>
          <t>Smithsonian Open Access</t>
        </is>
      </c>
      <c r="Y15" s="8" t="inlineStr">
        <is>
          <t>https://www.si.edu/openaccess</t>
        </is>
      </c>
      <c r="Z15" s="2" t="inlineStr">
        <is>
          <t>UNESCO</t>
        </is>
      </c>
      <c r="AA15" s="8" t="inlineStr">
        <is>
          <t>https://whc.unesco.org/</t>
        </is>
      </c>
      <c r="AB15" s="2" t="inlineStr">
        <is>
          <t>UNESCO</t>
        </is>
      </c>
      <c r="AC15" s="8" t="inlineStr">
        <is>
          <t>https://whc.unesco.org/</t>
        </is>
      </c>
      <c r="AD15" s="2" t="inlineStr">
        <is>
          <t>Carnac alignments</t>
        </is>
      </c>
      <c r="AE15" s="2" t="inlineStr">
        <is>
          <t>Dating and function remain debated; stick to excavated monument classes.</t>
        </is>
      </c>
      <c r="AF15" s="2" t="inlineStr">
        <is>
          <t>Megalith networks; processional landscapes</t>
        </is>
      </c>
      <c r="AG15" s="2" t="inlineStr">
        <is>
          <t>Medium</t>
        </is>
      </c>
      <c r="AH15" s="2" t="inlineStr">
        <is>
          <t>Medium</t>
        </is>
      </c>
      <c r="AI15" s="2" t="inlineStr"/>
      <c r="AJ15" t="inlineStr">
        <is>
          <t>https://whc.unesco.org/en/search/?searchterm=Carnac+alignments</t>
        </is>
      </c>
      <c r="AK15" t="inlineStr">
        <is>
          <t>https://whc.unesco.org/en/search/?searchterm=Carnac+alignments</t>
        </is>
      </c>
      <c r="AL15" t="inlineStr">
        <is>
          <t>https://www.si.edu/collection/search?edan_q=Carnac+alignments</t>
        </is>
      </c>
      <c r="AM15" t="inlineStr">
        <is>
          <t>https://whc.unesco.org/en/search/?searchterm=Carnac+alignments</t>
        </is>
      </c>
      <c r="AN15" t="inlineStr">
        <is>
          <t>https://whc.unesco.org/en/search/?searchterm=Carnac+alignments</t>
        </is>
      </c>
      <c r="AO15" t="inlineStr">
        <is>
          <t>1) Fact base: UNESCO. 2) Translation/text: UNESCO. 3) Images/objects: Smithsonian Open Access. 4) Context/explanation: UNESCO. 5) Geography/maps: UNESCO. Use Suggested_Search_Term inside each portal.</t>
        </is>
      </c>
      <c r="AP15" t="inlineStr">
        <is>
          <t>Mixed: direct portal homepages plus search-result URLs where the portal exposes a public search endpoint.</t>
        </is>
      </c>
    </row>
    <row r="16">
      <c r="A16" s="2" t="n">
        <v>15</v>
      </c>
      <c r="B16" s="7" t="inlineStr">
        <is>
          <t>BCE_to_1AD</t>
        </is>
      </c>
      <c r="C16" s="2" t="inlineStr">
        <is>
          <t>Prehistory / Neolithic</t>
        </is>
      </c>
      <c r="D16" s="2" t="inlineStr">
        <is>
          <t>Prehistory and Neolithic traditions</t>
        </is>
      </c>
      <c r="E16" s="2" t="n">
        <v>-3200</v>
      </c>
      <c r="F16" s="2" t="n">
        <v>-2500</v>
      </c>
      <c r="G16" s="2" t="inlineStr">
        <is>
          <t>c. 3200 BCE to 2500 BCE</t>
        </is>
      </c>
      <c r="H16" s="2" t="inlineStr">
        <is>
          <t>Newgrange</t>
        </is>
      </c>
      <c r="I16" s="2" t="inlineStr">
        <is>
          <t>Site</t>
        </is>
      </c>
      <c r="J16" s="2" t="inlineStr">
        <is>
          <t>Archaeology</t>
        </is>
      </c>
      <c r="K16" s="2" t="inlineStr">
        <is>
          <t>Burial</t>
        </is>
      </c>
      <c r="L16" s="2" t="inlineStr">
        <is>
          <t>Astronomy</t>
        </is>
      </c>
      <c r="M16" s="2" t="inlineStr">
        <is>
          <t>Ireland</t>
        </is>
      </c>
      <c r="N16" s="2" t="inlineStr">
        <is>
          <t>Boyne Valley</t>
        </is>
      </c>
      <c r="O16" s="2" t="inlineStr">
        <is>
          <t>Passage tomb famous for winter-solstice illumination.</t>
        </is>
      </c>
      <c r="P16" s="2" t="inlineStr">
        <is>
          <t>A strong case study for architecture, death ritual, and solar alignment.</t>
        </is>
      </c>
      <c r="Q16" s="2" t="inlineStr">
        <is>
          <t>High</t>
        </is>
      </c>
      <c r="R16" s="2" t="inlineStr">
        <is>
          <t>Not applicable</t>
        </is>
      </c>
      <c r="S16" s="2" t="inlineStr">
        <is>
          <t>High</t>
        </is>
      </c>
      <c r="T16" s="2" t="inlineStr">
        <is>
          <t>UNESCO</t>
        </is>
      </c>
      <c r="U16" s="8" t="inlineStr">
        <is>
          <t>https://whc.unesco.org/</t>
        </is>
      </c>
      <c r="V16" s="2" t="inlineStr">
        <is>
          <t>UNESCO</t>
        </is>
      </c>
      <c r="W16" s="8" t="inlineStr">
        <is>
          <t>https://whc.unesco.org/</t>
        </is>
      </c>
      <c r="X16" s="2" t="inlineStr">
        <is>
          <t>Smithsonian Open Access</t>
        </is>
      </c>
      <c r="Y16" s="8" t="inlineStr">
        <is>
          <t>https://www.si.edu/openaccess</t>
        </is>
      </c>
      <c r="Z16" s="2" t="inlineStr">
        <is>
          <t>UNESCO</t>
        </is>
      </c>
      <c r="AA16" s="8" t="inlineStr">
        <is>
          <t>https://whc.unesco.org/</t>
        </is>
      </c>
      <c r="AB16" s="2" t="inlineStr">
        <is>
          <t>UNESCO</t>
        </is>
      </c>
      <c r="AC16" s="8" t="inlineStr">
        <is>
          <t>https://whc.unesco.org/</t>
        </is>
      </c>
      <c r="AD16" s="2" t="inlineStr">
        <is>
          <t>Newgrange UNESCO</t>
        </is>
      </c>
      <c r="AE16" s="2" t="inlineStr">
        <is>
          <t>Use official site geometry, not only popular mystery framing.</t>
        </is>
      </c>
      <c r="AF16" s="2" t="inlineStr">
        <is>
          <t>Solar rebirth; underworld passage</t>
        </is>
      </c>
      <c r="AG16" s="2" t="inlineStr">
        <is>
          <t>High</t>
        </is>
      </c>
      <c r="AH16" s="2" t="inlineStr">
        <is>
          <t>High</t>
        </is>
      </c>
      <c r="AI16" s="2" t="inlineStr"/>
      <c r="AJ16" t="inlineStr">
        <is>
          <t>https://whc.unesco.org/en/search/?searchterm=Newgrange+UNESCO</t>
        </is>
      </c>
      <c r="AK16" t="inlineStr">
        <is>
          <t>https://whc.unesco.org/en/search/?searchterm=Newgrange+UNESCO</t>
        </is>
      </c>
      <c r="AL16" t="inlineStr">
        <is>
          <t>https://www.si.edu/collection/search?edan_q=Newgrange+UNESCO</t>
        </is>
      </c>
      <c r="AM16" t="inlineStr">
        <is>
          <t>https://whc.unesco.org/en/search/?searchterm=Newgrange+UNESCO</t>
        </is>
      </c>
      <c r="AN16" t="inlineStr">
        <is>
          <t>https://whc.unesco.org/en/search/?searchterm=Newgrange+UNESCO</t>
        </is>
      </c>
      <c r="AO16" t="inlineStr">
        <is>
          <t>1) Fact base: UNESCO. 2) Translation/text: UNESCO. 3) Images/objects: Smithsonian Open Access. 4) Context/explanation: UNESCO. 5) Geography/maps: UNESCO. Use Suggested_Search_Term inside each portal.</t>
        </is>
      </c>
      <c r="AP16" t="inlineStr">
        <is>
          <t>Mixed: direct portal homepages plus search-result URLs where the portal exposes a public search endpoint.</t>
        </is>
      </c>
    </row>
    <row r="17">
      <c r="A17" s="2" t="n">
        <v>16</v>
      </c>
      <c r="B17" s="7" t="inlineStr">
        <is>
          <t>BCE_to_1AD</t>
        </is>
      </c>
      <c r="C17" s="2" t="inlineStr">
        <is>
          <t>Prehistory / Neolithic</t>
        </is>
      </c>
      <c r="D17" s="2" t="inlineStr">
        <is>
          <t>Prehistory and Neolithic traditions</t>
        </is>
      </c>
      <c r="E17" s="2" t="n">
        <v>-3100</v>
      </c>
      <c r="F17" s="2" t="n">
        <v>-2500</v>
      </c>
      <c r="G17" s="2" t="inlineStr">
        <is>
          <t>c. 3100 BCE to 2500 BCE</t>
        </is>
      </c>
      <c r="H17" s="2" t="inlineStr">
        <is>
          <t>Skara Brae</t>
        </is>
      </c>
      <c r="I17" s="2" t="inlineStr">
        <is>
          <t>Site</t>
        </is>
      </c>
      <c r="J17" s="2" t="inlineStr">
        <is>
          <t>Archaeology</t>
        </is>
      </c>
      <c r="K17" s="2" t="inlineStr">
        <is>
          <t>Settlement</t>
        </is>
      </c>
      <c r="L17" s="2" t="inlineStr">
        <is>
          <t>Domestic life</t>
        </is>
      </c>
      <c r="M17" s="2" t="inlineStr">
        <is>
          <t>Scotland</t>
        </is>
      </c>
      <c r="N17" s="2" t="inlineStr">
        <is>
          <t>Orkney</t>
        </is>
      </c>
      <c r="O17" s="2" t="inlineStr">
        <is>
          <t>Stone-built Neolithic settlement preserving domestic architecture.</t>
        </is>
      </c>
      <c r="P17" s="2" t="inlineStr">
        <is>
          <t>Helps balance ritual narratives with everyday prehistoric life.</t>
        </is>
      </c>
      <c r="Q17" s="2" t="inlineStr">
        <is>
          <t>Low</t>
        </is>
      </c>
      <c r="R17" s="2" t="inlineStr">
        <is>
          <t>Not applicable</t>
        </is>
      </c>
      <c r="S17" s="2" t="inlineStr">
        <is>
          <t>High</t>
        </is>
      </c>
      <c r="T17" s="2" t="inlineStr">
        <is>
          <t>UNESCO</t>
        </is>
      </c>
      <c r="U17" s="8" t="inlineStr">
        <is>
          <t>https://whc.unesco.org/</t>
        </is>
      </c>
      <c r="V17" s="2" t="inlineStr">
        <is>
          <t>UNESCO</t>
        </is>
      </c>
      <c r="W17" s="8" t="inlineStr">
        <is>
          <t>https://whc.unesco.org/</t>
        </is>
      </c>
      <c r="X17" s="2" t="inlineStr">
        <is>
          <t>Smithsonian Open Access</t>
        </is>
      </c>
      <c r="Y17" s="8" t="inlineStr">
        <is>
          <t>https://www.si.edu/openaccess</t>
        </is>
      </c>
      <c r="Z17" s="2" t="inlineStr">
        <is>
          <t>UNESCO</t>
        </is>
      </c>
      <c r="AA17" s="8" t="inlineStr">
        <is>
          <t>https://whc.unesco.org/</t>
        </is>
      </c>
      <c r="AB17" s="2" t="inlineStr">
        <is>
          <t>UNESCO</t>
        </is>
      </c>
      <c r="AC17" s="8" t="inlineStr">
        <is>
          <t>https://whc.unesco.org/</t>
        </is>
      </c>
      <c r="AD17" s="2" t="inlineStr">
        <is>
          <t>Skara Brae UNESCO</t>
        </is>
      </c>
      <c r="AE17" s="2" t="inlineStr">
        <is>
          <t>Useful control case for settlement comparison.</t>
        </is>
      </c>
      <c r="AF17" s="2" t="inlineStr">
        <is>
          <t>Village life; material culture</t>
        </is>
      </c>
      <c r="AG17" s="2" t="inlineStr">
        <is>
          <t>Medium</t>
        </is>
      </c>
      <c r="AH17" s="2" t="inlineStr">
        <is>
          <t>Medium</t>
        </is>
      </c>
      <c r="AI17" s="2" t="inlineStr"/>
      <c r="AJ17" t="inlineStr">
        <is>
          <t>https://whc.unesco.org/en/search/?searchterm=Skara+Brae+UNESCO</t>
        </is>
      </c>
      <c r="AK17" t="inlineStr">
        <is>
          <t>https://whc.unesco.org/en/search/?searchterm=Skara+Brae+UNESCO</t>
        </is>
      </c>
      <c r="AL17" t="inlineStr">
        <is>
          <t>https://www.si.edu/collection/search?edan_q=Skara+Brae+UNESCO</t>
        </is>
      </c>
      <c r="AM17" t="inlineStr">
        <is>
          <t>https://whc.unesco.org/en/search/?searchterm=Skara+Brae+UNESCO</t>
        </is>
      </c>
      <c r="AN17" t="inlineStr">
        <is>
          <t>https://whc.unesco.org/en/search/?searchterm=Skara+Brae+UNESCO</t>
        </is>
      </c>
      <c r="AO17" t="inlineStr">
        <is>
          <t>1) Fact base: UNESCO. 2) Translation/text: UNESCO. 3) Images/objects: Smithsonian Open Access. 4) Context/explanation: UNESCO. 5) Geography/maps: UNESCO. Use Suggested_Search_Term inside each portal.</t>
        </is>
      </c>
      <c r="AP17" t="inlineStr">
        <is>
          <t>Mixed: direct portal homepages plus search-result URLs where the portal exposes a public search endpoint.</t>
        </is>
      </c>
    </row>
    <row r="18">
      <c r="A18" s="2" t="n">
        <v>17</v>
      </c>
      <c r="B18" s="7" t="inlineStr">
        <is>
          <t>BCE_to_1AD</t>
        </is>
      </c>
      <c r="C18" s="2" t="inlineStr">
        <is>
          <t>Mesopotamia</t>
        </is>
      </c>
      <c r="D18" s="2" t="inlineStr">
        <is>
          <t>Mesopotamian traditions</t>
        </is>
      </c>
      <c r="E18" s="2" t="n">
        <v>-5400</v>
      </c>
      <c r="F18" s="2" t="n">
        <v>-500</v>
      </c>
      <c r="G18" s="2" t="inlineStr">
        <is>
          <t>c. 5400 BCE to 500 BCE</t>
        </is>
      </c>
      <c r="H18" s="2" t="inlineStr">
        <is>
          <t>Eridu</t>
        </is>
      </c>
      <c r="I18" s="2" t="inlineStr">
        <is>
          <t>Site</t>
        </is>
      </c>
      <c r="J18" s="2" t="inlineStr">
        <is>
          <t>Archaeology</t>
        </is>
      </c>
      <c r="K18" s="2" t="inlineStr">
        <is>
          <t>Origins</t>
        </is>
      </c>
      <c r="L18" s="2" t="inlineStr">
        <is>
          <t>Sacred city</t>
        </is>
      </c>
      <c r="M18" s="2" t="inlineStr">
        <is>
          <t>Iraq</t>
        </is>
      </c>
      <c r="N18" s="2" t="inlineStr">
        <is>
          <t>Southern Mesopotamia</t>
        </is>
      </c>
      <c r="O18" s="2" t="inlineStr">
        <is>
          <t>Ancient city associated in Mesopotamian tradition with earliest kingship and the god Enki.</t>
        </is>
      </c>
      <c r="P18" s="2" t="inlineStr">
        <is>
          <t>A major anchor for origin narratives, temple development, and Eridu Genesis context.</t>
        </is>
      </c>
      <c r="Q18" s="2" t="inlineStr">
        <is>
          <t>High</t>
        </is>
      </c>
      <c r="R18" s="2" t="inlineStr">
        <is>
          <t>Partial</t>
        </is>
      </c>
      <c r="S18" s="2" t="inlineStr">
        <is>
          <t>Medium</t>
        </is>
      </c>
      <c r="T18" s="2" t="inlineStr">
        <is>
          <t>ORACC</t>
        </is>
      </c>
      <c r="U18" s="8" t="inlineStr">
        <is>
          <t>https://oracc.museum.upenn.edu/</t>
        </is>
      </c>
      <c r="V18" s="2" t="inlineStr">
        <is>
          <t>ORACC</t>
        </is>
      </c>
      <c r="W18" s="8" t="inlineStr">
        <is>
          <t>https://oracc.museum.upenn.edu/</t>
        </is>
      </c>
      <c r="X18" s="2" t="inlineStr">
        <is>
          <t>British Museum Collection</t>
        </is>
      </c>
      <c r="Y18" s="8" t="inlineStr">
        <is>
          <t>https://www.britishmuseum.org/collection</t>
        </is>
      </c>
      <c r="Z18" s="2" t="inlineStr">
        <is>
          <t>Penn Museum</t>
        </is>
      </c>
      <c r="AA18" s="8" t="inlineStr">
        <is>
          <t>https://www.penn.museum/</t>
        </is>
      </c>
      <c r="AB18" s="2" t="inlineStr">
        <is>
          <t>Pleiades</t>
        </is>
      </c>
      <c r="AC18" s="8" t="inlineStr">
        <is>
          <t>https://pleiades.stoa.org/</t>
        </is>
      </c>
      <c r="AD18" s="2" t="inlineStr">
        <is>
          <t>Eridu ORACC</t>
        </is>
      </c>
      <c r="AE18" s="2" t="inlineStr">
        <is>
          <t>City phases and literary memory should be kept distinct.</t>
        </is>
      </c>
      <c r="AF18" s="2" t="inlineStr">
        <is>
          <t>Creation; kingship; flood</t>
        </is>
      </c>
      <c r="AG18" s="2" t="inlineStr">
        <is>
          <t>Critical</t>
        </is>
      </c>
      <c r="AH18" s="2" t="inlineStr">
        <is>
          <t>High</t>
        </is>
      </c>
      <c r="AI18" s="2" t="inlineStr"/>
      <c r="AJ18" t="inlineStr">
        <is>
          <t>https://oracc.museum.upenn.edu/</t>
        </is>
      </c>
      <c r="AK18" t="inlineStr">
        <is>
          <t>https://oracc.museum.upenn.edu/</t>
        </is>
      </c>
      <c r="AL18" t="inlineStr">
        <is>
          <t>https://www.britishmuseum.org/collection/search?keyword=Eridu+ORACC</t>
        </is>
      </c>
      <c r="AM18" t="inlineStr">
        <is>
          <t>https://www.penn.museum/</t>
        </is>
      </c>
      <c r="AN18" t="inlineStr">
        <is>
          <t>https://pleiades.stoa.org/search?SearchableText=Eridu+ORACC</t>
        </is>
      </c>
      <c r="AO18" t="inlineStr">
        <is>
          <t>1) Fact base: ORACC. 2) Translation/text: ORACC. 3) Images/objects: British Museum Collection. 4) Context/explanation: Penn Museum. 5) Geography/maps: Pleiades. Use Suggested_Search_Term inside each portal.</t>
        </is>
      </c>
      <c r="AP18" t="inlineStr">
        <is>
          <t>Mixed: direct portal homepages plus search-result URLs where the portal exposes a public search endpoint.</t>
        </is>
      </c>
    </row>
    <row r="19">
      <c r="A19" s="2" t="n">
        <v>18</v>
      </c>
      <c r="B19" s="7" t="inlineStr">
        <is>
          <t>BCE_to_1AD</t>
        </is>
      </c>
      <c r="C19" s="2" t="inlineStr">
        <is>
          <t>Mesopotamia</t>
        </is>
      </c>
      <c r="D19" s="2" t="inlineStr">
        <is>
          <t>Mesopotamian traditions</t>
        </is>
      </c>
      <c r="E19" s="2" t="n">
        <v>-4000</v>
      </c>
      <c r="F19" s="2" t="n">
        <v>-300</v>
      </c>
      <c r="G19" s="2" t="inlineStr">
        <is>
          <t>c. 4000 BCE to 300 BCE</t>
        </is>
      </c>
      <c r="H19" s="2" t="inlineStr">
        <is>
          <t>Uruk</t>
        </is>
      </c>
      <c r="I19" s="2" t="inlineStr">
        <is>
          <t>Site</t>
        </is>
      </c>
      <c r="J19" s="2" t="inlineStr">
        <is>
          <t>Archaeology</t>
        </is>
      </c>
      <c r="K19" s="2" t="inlineStr">
        <is>
          <t>Urbanism</t>
        </is>
      </c>
      <c r="L19" s="2" t="inlineStr">
        <is>
          <t>Kingship</t>
        </is>
      </c>
      <c r="M19" s="2" t="inlineStr">
        <is>
          <t>Iraq</t>
        </is>
      </c>
      <c r="N19" s="2" t="inlineStr">
        <is>
          <t>Southern Mesopotamia</t>
        </is>
      </c>
      <c r="O19" s="2" t="inlineStr">
        <is>
          <t>Major urban center tied to early writing, monumental temples, and Gilgamesh traditions.</t>
        </is>
      </c>
      <c r="P19" s="2" t="inlineStr">
        <is>
          <t>Core site for state formation, script origins, and epic memory.</t>
        </is>
      </c>
      <c r="Q19" s="2" t="inlineStr">
        <is>
          <t>High</t>
        </is>
      </c>
      <c r="R19" s="2" t="inlineStr">
        <is>
          <t>Partial</t>
        </is>
      </c>
      <c r="S19" s="2" t="inlineStr">
        <is>
          <t>Medium</t>
        </is>
      </c>
      <c r="T19" s="2" t="inlineStr">
        <is>
          <t>ORACC</t>
        </is>
      </c>
      <c r="U19" s="8" t="inlineStr">
        <is>
          <t>https://oracc.museum.upenn.edu/</t>
        </is>
      </c>
      <c r="V19" s="2" t="inlineStr">
        <is>
          <t>ORACC</t>
        </is>
      </c>
      <c r="W19" s="8" t="inlineStr">
        <is>
          <t>https://oracc.museum.upenn.edu/</t>
        </is>
      </c>
      <c r="X19" s="2" t="inlineStr">
        <is>
          <t>British Museum Collection</t>
        </is>
      </c>
      <c r="Y19" s="8" t="inlineStr">
        <is>
          <t>https://www.britishmuseum.org/collection</t>
        </is>
      </c>
      <c r="Z19" s="2" t="inlineStr">
        <is>
          <t>Penn Museum</t>
        </is>
      </c>
      <c r="AA19" s="8" t="inlineStr">
        <is>
          <t>https://www.penn.museum/</t>
        </is>
      </c>
      <c r="AB19" s="2" t="inlineStr">
        <is>
          <t>Pleiades</t>
        </is>
      </c>
      <c r="AC19" s="8" t="inlineStr">
        <is>
          <t>https://pleiades.stoa.org/</t>
        </is>
      </c>
      <c r="AD19" s="2" t="inlineStr">
        <is>
          <t>Uruk ORACC</t>
        </is>
      </c>
      <c r="AE19" s="2" t="inlineStr">
        <is>
          <t>Use archaeological Uruk phases alongside literary Uruk traditions.</t>
        </is>
      </c>
      <c r="AF19" s="2" t="inlineStr">
        <is>
          <t>Gilgamesh; Inanna; kingship</t>
        </is>
      </c>
      <c r="AG19" s="2" t="inlineStr">
        <is>
          <t>Critical</t>
        </is>
      </c>
      <c r="AH19" s="2" t="inlineStr">
        <is>
          <t>High</t>
        </is>
      </c>
      <c r="AI19" s="2" t="inlineStr"/>
      <c r="AJ19" t="inlineStr">
        <is>
          <t>https://oracc.museum.upenn.edu/</t>
        </is>
      </c>
      <c r="AK19" t="inlineStr">
        <is>
          <t>https://oracc.museum.upenn.edu/</t>
        </is>
      </c>
      <c r="AL19" t="inlineStr">
        <is>
          <t>https://www.britishmuseum.org/collection/search?keyword=Uruk+ORACC</t>
        </is>
      </c>
      <c r="AM19" t="inlineStr">
        <is>
          <t>https://www.penn.museum/</t>
        </is>
      </c>
      <c r="AN19" t="inlineStr">
        <is>
          <t>https://pleiades.stoa.org/search?SearchableText=Uruk+ORACC</t>
        </is>
      </c>
      <c r="AO19" t="inlineStr">
        <is>
          <t>1) Fact base: ORACC. 2) Translation/text: ORACC. 3) Images/objects: British Museum Collection. 4) Context/explanation: Penn Museum. 5) Geography/maps: Pleiades. Use Suggested_Search_Term inside each portal.</t>
        </is>
      </c>
      <c r="AP19" t="inlineStr">
        <is>
          <t>Mixed: direct portal homepages plus search-result URLs where the portal exposes a public search endpoint.</t>
        </is>
      </c>
    </row>
    <row r="20">
      <c r="A20" s="2" t="n">
        <v>19</v>
      </c>
      <c r="B20" s="7" t="inlineStr">
        <is>
          <t>BCE_to_1AD</t>
        </is>
      </c>
      <c r="C20" s="2" t="inlineStr">
        <is>
          <t>Mesopotamia</t>
        </is>
      </c>
      <c r="D20" s="2" t="inlineStr">
        <is>
          <t>Mesopotamian traditions</t>
        </is>
      </c>
      <c r="E20" s="2" t="n">
        <v>-3800</v>
      </c>
      <c r="F20" s="2" t="n">
        <v>-200</v>
      </c>
      <c r="G20" s="2" t="inlineStr">
        <is>
          <t>c. 3800 BCE to 200 BCE</t>
        </is>
      </c>
      <c r="H20" s="2" t="inlineStr">
        <is>
          <t>Ur</t>
        </is>
      </c>
      <c r="I20" s="2" t="inlineStr">
        <is>
          <t>Site</t>
        </is>
      </c>
      <c r="J20" s="2" t="inlineStr">
        <is>
          <t>Archaeology</t>
        </is>
      </c>
      <c r="K20" s="2" t="inlineStr">
        <is>
          <t>Kingship</t>
        </is>
      </c>
      <c r="L20" s="2" t="inlineStr">
        <is>
          <t>Temple economy</t>
        </is>
      </c>
      <c r="M20" s="2" t="inlineStr">
        <is>
          <t>Iraq</t>
        </is>
      </c>
      <c r="N20" s="2" t="inlineStr">
        <is>
          <t>Southern Mesopotamia</t>
        </is>
      </c>
      <c r="O20" s="2" t="inlineStr">
        <is>
          <t>Major Sumerian city with royal tombs and long textual record.</t>
        </is>
      </c>
      <c r="P20" s="2" t="inlineStr">
        <is>
          <t>Useful for combining site archaeology, burial evidence, and texts.</t>
        </is>
      </c>
      <c r="Q20" s="2" t="inlineStr">
        <is>
          <t>Medium</t>
        </is>
      </c>
      <c r="R20" s="2" t="inlineStr">
        <is>
          <t>Partial</t>
        </is>
      </c>
      <c r="S20" s="2" t="inlineStr">
        <is>
          <t>High</t>
        </is>
      </c>
      <c r="T20" s="2" t="inlineStr">
        <is>
          <t>ORACC</t>
        </is>
      </c>
      <c r="U20" s="8" t="inlineStr">
        <is>
          <t>https://oracc.museum.upenn.edu/</t>
        </is>
      </c>
      <c r="V20" s="2" t="inlineStr">
        <is>
          <t>ORACC</t>
        </is>
      </c>
      <c r="W20" s="8" t="inlineStr">
        <is>
          <t>https://oracc.museum.upenn.edu/</t>
        </is>
      </c>
      <c r="X20" s="2" t="inlineStr">
        <is>
          <t>British Museum Collection</t>
        </is>
      </c>
      <c r="Y20" s="8" t="inlineStr">
        <is>
          <t>https://www.britishmuseum.org/collection</t>
        </is>
      </c>
      <c r="Z20" s="2" t="inlineStr">
        <is>
          <t>Penn Museum</t>
        </is>
      </c>
      <c r="AA20" s="8" t="inlineStr">
        <is>
          <t>https://www.penn.museum/</t>
        </is>
      </c>
      <c r="AB20" s="2" t="inlineStr">
        <is>
          <t>Pleiades</t>
        </is>
      </c>
      <c r="AC20" s="8" t="inlineStr">
        <is>
          <t>https://pleiades.stoa.org/</t>
        </is>
      </c>
      <c r="AD20" s="2" t="inlineStr">
        <is>
          <t>Ur royal tombs</t>
        </is>
      </c>
      <c r="AE20" s="2" t="inlineStr">
        <is>
          <t>Royal cemetery evidence is especially image-rich.</t>
        </is>
      </c>
      <c r="AF20" s="2" t="inlineStr">
        <is>
          <t>Afterlife; kingship; moon cult</t>
        </is>
      </c>
      <c r="AG20" s="2" t="inlineStr">
        <is>
          <t>High</t>
        </is>
      </c>
      <c r="AH20" s="2" t="inlineStr">
        <is>
          <t>High</t>
        </is>
      </c>
      <c r="AI20" s="2" t="inlineStr"/>
      <c r="AJ20" t="inlineStr">
        <is>
          <t>https://oracc.museum.upenn.edu/</t>
        </is>
      </c>
      <c r="AK20" t="inlineStr">
        <is>
          <t>https://oracc.museum.upenn.edu/</t>
        </is>
      </c>
      <c r="AL20" t="inlineStr">
        <is>
          <t>https://www.britishmuseum.org/collection/search?keyword=Ur+royal+tombs</t>
        </is>
      </c>
      <c r="AM20" t="inlineStr">
        <is>
          <t>https://www.penn.museum/</t>
        </is>
      </c>
      <c r="AN20" t="inlineStr">
        <is>
          <t>https://pleiades.stoa.org/search?SearchableText=Ur+royal+tombs</t>
        </is>
      </c>
      <c r="AO20" t="inlineStr">
        <is>
          <t>1) Fact base: ORACC. 2) Translation/text: ORACC. 3) Images/objects: British Museum Collection. 4) Context/explanation: Penn Museum. 5) Geography/maps: Pleiades. Use Suggested_Search_Term inside each portal.</t>
        </is>
      </c>
      <c r="AP20" t="inlineStr">
        <is>
          <t>Mixed: direct portal homepages plus search-result URLs where the portal exposes a public search endpoint.</t>
        </is>
      </c>
    </row>
    <row r="21">
      <c r="A21" s="2" t="n">
        <v>20</v>
      </c>
      <c r="B21" s="7" t="inlineStr">
        <is>
          <t>BCE_to_1AD</t>
        </is>
      </c>
      <c r="C21" s="2" t="inlineStr">
        <is>
          <t>Mesopotamia</t>
        </is>
      </c>
      <c r="D21" s="2" t="inlineStr">
        <is>
          <t>Mesopotamian traditions</t>
        </is>
      </c>
      <c r="E21" s="2" t="n">
        <v>-5000</v>
      </c>
      <c r="F21" s="2" t="n">
        <v>-500</v>
      </c>
      <c r="G21" s="2" t="inlineStr">
        <is>
          <t>c. 5000 BCE to 500 BCE</t>
        </is>
      </c>
      <c r="H21" s="2" t="inlineStr">
        <is>
          <t>Nippur</t>
        </is>
      </c>
      <c r="I21" s="2" t="inlineStr">
        <is>
          <t>Site</t>
        </is>
      </c>
      <c r="J21" s="2" t="inlineStr">
        <is>
          <t>Archaeology</t>
        </is>
      </c>
      <c r="K21" s="2" t="inlineStr">
        <is>
          <t>Temple</t>
        </is>
      </c>
      <c r="L21" s="2" t="inlineStr">
        <is>
          <t>Literature</t>
        </is>
      </c>
      <c r="M21" s="2" t="inlineStr">
        <is>
          <t>Iraq</t>
        </is>
      </c>
      <c r="N21" s="2" t="inlineStr">
        <is>
          <t>Central Mesopotamia</t>
        </is>
      </c>
      <c r="O21" s="2" t="inlineStr">
        <is>
          <t>Cult center of Enlil and important source of literary tablets.</t>
        </is>
      </c>
      <c r="P21" s="2" t="inlineStr">
        <is>
          <t>Essential for temple ideology and preservation of Sumerian literature.</t>
        </is>
      </c>
      <c r="Q21" s="2" t="inlineStr">
        <is>
          <t>Medium</t>
        </is>
      </c>
      <c r="R21" s="2" t="inlineStr">
        <is>
          <t>Partial</t>
        </is>
      </c>
      <c r="S21" s="2" t="inlineStr">
        <is>
          <t>Medium</t>
        </is>
      </c>
      <c r="T21" s="2" t="inlineStr">
        <is>
          <t>ORACC</t>
        </is>
      </c>
      <c r="U21" s="8" t="inlineStr">
        <is>
          <t>https://oracc.museum.upenn.edu/</t>
        </is>
      </c>
      <c r="V21" s="2" t="inlineStr">
        <is>
          <t>ORACC</t>
        </is>
      </c>
      <c r="W21" s="8" t="inlineStr">
        <is>
          <t>https://oracc.museum.upenn.edu/</t>
        </is>
      </c>
      <c r="X21" s="2" t="inlineStr">
        <is>
          <t>British Museum Collection</t>
        </is>
      </c>
      <c r="Y21" s="8" t="inlineStr">
        <is>
          <t>https://www.britishmuseum.org/collection</t>
        </is>
      </c>
      <c r="Z21" s="2" t="inlineStr">
        <is>
          <t>Penn Museum</t>
        </is>
      </c>
      <c r="AA21" s="8" t="inlineStr">
        <is>
          <t>https://www.penn.museum/</t>
        </is>
      </c>
      <c r="AB21" s="2" t="inlineStr">
        <is>
          <t>Pleiades</t>
        </is>
      </c>
      <c r="AC21" s="8" t="inlineStr">
        <is>
          <t>https://pleiades.stoa.org/</t>
        </is>
      </c>
      <c r="AD21" s="2" t="inlineStr">
        <is>
          <t>Nippur tablets</t>
        </is>
      </c>
      <c r="AE21" s="2" t="inlineStr">
        <is>
          <t>Often best accessed through corpora rather than a single object page.</t>
        </is>
      </c>
      <c r="AF21" s="2" t="inlineStr">
        <is>
          <t>Temple order; divine authority</t>
        </is>
      </c>
      <c r="AG21" s="2" t="inlineStr">
        <is>
          <t>High</t>
        </is>
      </c>
      <c r="AH21" s="2" t="inlineStr">
        <is>
          <t>Medium</t>
        </is>
      </c>
      <c r="AI21" s="2" t="inlineStr"/>
      <c r="AJ21" t="inlineStr">
        <is>
          <t>https://oracc.museum.upenn.edu/</t>
        </is>
      </c>
      <c r="AK21" t="inlineStr">
        <is>
          <t>https://oracc.museum.upenn.edu/</t>
        </is>
      </c>
      <c r="AL21" t="inlineStr">
        <is>
          <t>https://www.britishmuseum.org/collection/search?keyword=Nippur+tablets</t>
        </is>
      </c>
      <c r="AM21" t="inlineStr">
        <is>
          <t>https://www.penn.museum/</t>
        </is>
      </c>
      <c r="AN21" t="inlineStr">
        <is>
          <t>https://pleiades.stoa.org/search?SearchableText=Nippur+tablets</t>
        </is>
      </c>
      <c r="AO21" t="inlineStr">
        <is>
          <t>1) Fact base: ORACC. 2) Translation/text: ORACC. 3) Images/objects: British Museum Collection. 4) Context/explanation: Penn Museum. 5) Geography/maps: Pleiades. Use Suggested_Search_Term inside each portal.</t>
        </is>
      </c>
      <c r="AP21" t="inlineStr">
        <is>
          <t>Mixed: direct portal homepages plus search-result URLs where the portal exposes a public search endpoint.</t>
        </is>
      </c>
    </row>
    <row r="22">
      <c r="A22" s="2" t="n">
        <v>21</v>
      </c>
      <c r="B22" s="7" t="inlineStr">
        <is>
          <t>BCE_to_1AD</t>
        </is>
      </c>
      <c r="C22" s="2" t="inlineStr">
        <is>
          <t>Mesopotamia</t>
        </is>
      </c>
      <c r="D22" s="2" t="inlineStr">
        <is>
          <t>Mesopotamian traditions</t>
        </is>
      </c>
      <c r="E22" s="2" t="n">
        <v>-2900</v>
      </c>
      <c r="F22" s="2" t="n">
        <v>-500</v>
      </c>
      <c r="G22" s="2" t="inlineStr">
        <is>
          <t>c. 2900 BCE to 500 BCE</t>
        </is>
      </c>
      <c r="H22" s="2" t="inlineStr">
        <is>
          <t>Lagash / Girsu</t>
        </is>
      </c>
      <c r="I22" s="2" t="inlineStr">
        <is>
          <t>Site</t>
        </is>
      </c>
      <c r="J22" s="2" t="inlineStr">
        <is>
          <t>Archaeology</t>
        </is>
      </c>
      <c r="K22" s="2" t="inlineStr">
        <is>
          <t>Kingship</t>
        </is>
      </c>
      <c r="L22" s="2" t="inlineStr">
        <is>
          <t>Administration</t>
        </is>
      </c>
      <c r="M22" s="2" t="inlineStr">
        <is>
          <t>Iraq</t>
        </is>
      </c>
      <c r="N22" s="2" t="inlineStr">
        <is>
          <t>Southern Mesopotamia</t>
        </is>
      </c>
      <c r="O22" s="2" t="inlineStr">
        <is>
          <t>Sumerian city-state known for royal inscriptions and administrative archives.</t>
        </is>
      </c>
      <c r="P22" s="2" t="inlineStr">
        <is>
          <t>Strong historical control case for inscriptions, rulers, and temple economy.</t>
        </is>
      </c>
      <c r="Q22" s="2" t="inlineStr">
        <is>
          <t>Medium</t>
        </is>
      </c>
      <c r="R22" s="2" t="inlineStr">
        <is>
          <t>High</t>
        </is>
      </c>
      <c r="S22" s="2" t="inlineStr">
        <is>
          <t>Medium</t>
        </is>
      </c>
      <c r="T22" s="2" t="inlineStr">
        <is>
          <t>ORACC</t>
        </is>
      </c>
      <c r="U22" s="8" t="inlineStr">
        <is>
          <t>https://oracc.museum.upenn.edu/</t>
        </is>
      </c>
      <c r="V22" s="2" t="inlineStr">
        <is>
          <t>ORACC</t>
        </is>
      </c>
      <c r="W22" s="8" t="inlineStr">
        <is>
          <t>https://oracc.museum.upenn.edu/</t>
        </is>
      </c>
      <c r="X22" s="2" t="inlineStr">
        <is>
          <t>British Museum Collection</t>
        </is>
      </c>
      <c r="Y22" s="8" t="inlineStr">
        <is>
          <t>https://www.britishmuseum.org/collection</t>
        </is>
      </c>
      <c r="Z22" s="2" t="inlineStr">
        <is>
          <t>Penn Museum</t>
        </is>
      </c>
      <c r="AA22" s="8" t="inlineStr">
        <is>
          <t>https://www.penn.museum/</t>
        </is>
      </c>
      <c r="AB22" s="2" t="inlineStr">
        <is>
          <t>Pleiades</t>
        </is>
      </c>
      <c r="AC22" s="8" t="inlineStr">
        <is>
          <t>https://pleiades.stoa.org/</t>
        </is>
      </c>
      <c r="AD22" s="2" t="inlineStr">
        <is>
          <t>Gudea cylinders Lagash</t>
        </is>
      </c>
      <c r="AE22" s="2" t="inlineStr">
        <is>
          <t>Good for royal self-presentation versus mythic literature.</t>
        </is>
      </c>
      <c r="AF22" s="2" t="inlineStr">
        <is>
          <t>Kingship; sacred building</t>
        </is>
      </c>
      <c r="AG22" s="2" t="inlineStr">
        <is>
          <t>High</t>
        </is>
      </c>
      <c r="AH22" s="2" t="inlineStr">
        <is>
          <t>Medium</t>
        </is>
      </c>
      <c r="AI22" s="2" t="inlineStr"/>
      <c r="AJ22" t="inlineStr">
        <is>
          <t>https://oracc.museum.upenn.edu/</t>
        </is>
      </c>
      <c r="AK22" t="inlineStr">
        <is>
          <t>https://oracc.museum.upenn.edu/</t>
        </is>
      </c>
      <c r="AL22" t="inlineStr">
        <is>
          <t>https://www.britishmuseum.org/collection/search?keyword=Gudea+cylinders+Lagash</t>
        </is>
      </c>
      <c r="AM22" t="inlineStr">
        <is>
          <t>https://www.penn.museum/</t>
        </is>
      </c>
      <c r="AN22" t="inlineStr">
        <is>
          <t>https://pleiades.stoa.org/search?SearchableText=Gudea+cylinders+Lagash</t>
        </is>
      </c>
      <c r="AO22" t="inlineStr">
        <is>
          <t>1) Fact base: ORACC. 2) Translation/text: ORACC. 3) Images/objects: British Museum Collection. 4) Context/explanation: Penn Museum. 5) Geography/maps: Pleiades. Use Suggested_Search_Term inside each portal.</t>
        </is>
      </c>
      <c r="AP22" t="inlineStr">
        <is>
          <t>Mixed: direct portal homepages plus search-result URLs where the portal exposes a public search endpoint.</t>
        </is>
      </c>
    </row>
    <row r="23">
      <c r="A23" s="2" t="n">
        <v>22</v>
      </c>
      <c r="B23" s="7" t="inlineStr">
        <is>
          <t>BCE_to_1AD</t>
        </is>
      </c>
      <c r="C23" s="2" t="inlineStr">
        <is>
          <t>Mesopotamia</t>
        </is>
      </c>
      <c r="D23" s="2" t="inlineStr">
        <is>
          <t>Mesopotamian traditions</t>
        </is>
      </c>
      <c r="E23" s="2" t="n">
        <v>-2900</v>
      </c>
      <c r="F23" s="2" t="n">
        <v>-500</v>
      </c>
      <c r="G23" s="2" t="inlineStr">
        <is>
          <t>c. 2900 BCE to 500 BCE</t>
        </is>
      </c>
      <c r="H23" s="2" t="inlineStr">
        <is>
          <t>Kish</t>
        </is>
      </c>
      <c r="I23" s="2" t="inlineStr">
        <is>
          <t>Site</t>
        </is>
      </c>
      <c r="J23" s="2" t="inlineStr">
        <is>
          <t>Archaeology</t>
        </is>
      </c>
      <c r="K23" s="2" t="inlineStr">
        <is>
          <t>Kingship</t>
        </is>
      </c>
      <c r="L23" s="2" t="inlineStr">
        <is>
          <t>Dynastic memory</t>
        </is>
      </c>
      <c r="M23" s="2" t="inlineStr">
        <is>
          <t>Iraq</t>
        </is>
      </c>
      <c r="N23" s="2" t="inlineStr">
        <is>
          <t>Central Mesopotamia</t>
        </is>
      </c>
      <c r="O23" s="2" t="inlineStr">
        <is>
          <t>Ancient city appearing prominently in early king lists and dynastic traditions.</t>
        </is>
      </c>
      <c r="P23" s="2" t="inlineStr">
        <is>
          <t>Important for testing legendary early kingship against archaeology.</t>
        </is>
      </c>
      <c r="Q23" s="2" t="inlineStr">
        <is>
          <t>Medium</t>
        </is>
      </c>
      <c r="R23" s="2" t="inlineStr">
        <is>
          <t>Partial</t>
        </is>
      </c>
      <c r="S23" s="2" t="inlineStr">
        <is>
          <t>Low</t>
        </is>
      </c>
      <c r="T23" s="2" t="inlineStr">
        <is>
          <t>ORACC</t>
        </is>
      </c>
      <c r="U23" s="8" t="inlineStr">
        <is>
          <t>https://oracc.museum.upenn.edu/</t>
        </is>
      </c>
      <c r="V23" s="2" t="inlineStr">
        <is>
          <t>ORACC</t>
        </is>
      </c>
      <c r="W23" s="8" t="inlineStr">
        <is>
          <t>https://oracc.museum.upenn.edu/</t>
        </is>
      </c>
      <c r="X23" s="2" t="inlineStr">
        <is>
          <t>British Museum Collection</t>
        </is>
      </c>
      <c r="Y23" s="8" t="inlineStr">
        <is>
          <t>https://www.britishmuseum.org/collection</t>
        </is>
      </c>
      <c r="Z23" s="2" t="inlineStr">
        <is>
          <t>Penn Museum</t>
        </is>
      </c>
      <c r="AA23" s="8" t="inlineStr">
        <is>
          <t>https://www.penn.museum/</t>
        </is>
      </c>
      <c r="AB23" s="2" t="inlineStr">
        <is>
          <t>Pleiades</t>
        </is>
      </c>
      <c r="AC23" s="8" t="inlineStr">
        <is>
          <t>https://pleiades.stoa.org/</t>
        </is>
      </c>
      <c r="AD23" s="2" t="inlineStr">
        <is>
          <t>Kish king list</t>
        </is>
      </c>
      <c r="AE23" s="2" t="inlineStr">
        <is>
          <t>Use king-list entries carefully; they are historiographic compositions.</t>
        </is>
      </c>
      <c r="AF23" s="2" t="inlineStr">
        <is>
          <t>Kingship; post-flood rule</t>
        </is>
      </c>
      <c r="AG23" s="2" t="inlineStr">
        <is>
          <t>Medium</t>
        </is>
      </c>
      <c r="AH23" s="2" t="inlineStr">
        <is>
          <t>Medium</t>
        </is>
      </c>
      <c r="AI23" s="2" t="inlineStr"/>
      <c r="AJ23" t="inlineStr">
        <is>
          <t>https://oracc.museum.upenn.edu/</t>
        </is>
      </c>
      <c r="AK23" t="inlineStr">
        <is>
          <t>https://oracc.museum.upenn.edu/</t>
        </is>
      </c>
      <c r="AL23" t="inlineStr">
        <is>
          <t>https://www.britishmuseum.org/collection/search?keyword=Kish+king+list</t>
        </is>
      </c>
      <c r="AM23" t="inlineStr">
        <is>
          <t>https://www.penn.museum/</t>
        </is>
      </c>
      <c r="AN23" t="inlineStr">
        <is>
          <t>https://pleiades.stoa.org/search?SearchableText=Kish+king+list</t>
        </is>
      </c>
      <c r="AO23" t="inlineStr">
        <is>
          <t>1) Fact base: ORACC. 2) Translation/text: ORACC. 3) Images/objects: British Museum Collection. 4) Context/explanation: Penn Museum. 5) Geography/maps: Pleiades. Use Suggested_Search_Term inside each portal.</t>
        </is>
      </c>
      <c r="AP23" t="inlineStr">
        <is>
          <t>Mixed: direct portal homepages plus search-result URLs where the portal exposes a public search endpoint.</t>
        </is>
      </c>
    </row>
    <row r="24">
      <c r="A24" s="2" t="n">
        <v>23</v>
      </c>
      <c r="B24" s="7" t="inlineStr">
        <is>
          <t>BCE_to_1AD</t>
        </is>
      </c>
      <c r="C24" s="2" t="inlineStr">
        <is>
          <t>Mesopotamia</t>
        </is>
      </c>
      <c r="D24" s="2" t="inlineStr">
        <is>
          <t>Mesopotamian traditions</t>
        </is>
      </c>
      <c r="E24" s="2" t="n">
        <v>-2900</v>
      </c>
      <c r="F24" s="2" t="n">
        <v>-2000</v>
      </c>
      <c r="G24" s="2" t="inlineStr">
        <is>
          <t>c. 2900 BCE to 2000 BCE</t>
        </is>
      </c>
      <c r="H24" s="2" t="inlineStr">
        <is>
          <t>Shuruppak</t>
        </is>
      </c>
      <c r="I24" s="2" t="inlineStr">
        <is>
          <t>Site</t>
        </is>
      </c>
      <c r="J24" s="2" t="inlineStr">
        <is>
          <t>Archaeology</t>
        </is>
      </c>
      <c r="K24" s="2" t="inlineStr">
        <is>
          <t>Flood</t>
        </is>
      </c>
      <c r="L24" s="2" t="inlineStr">
        <is>
          <t>City tradition</t>
        </is>
      </c>
      <c r="M24" s="2" t="inlineStr">
        <is>
          <t>Iraq</t>
        </is>
      </c>
      <c r="N24" s="2" t="inlineStr">
        <is>
          <t>Southern Mesopotamia</t>
        </is>
      </c>
      <c r="O24" s="2" t="inlineStr">
        <is>
          <t>City associated with flood-hero traditions and early administrative tablets.</t>
        </is>
      </c>
      <c r="P24" s="2" t="inlineStr">
        <is>
          <t>Valuable convergence point between archaeology and flood memory.</t>
        </is>
      </c>
      <c r="Q24" s="2" t="inlineStr">
        <is>
          <t>High</t>
        </is>
      </c>
      <c r="R24" s="2" t="inlineStr">
        <is>
          <t>Partial</t>
        </is>
      </c>
      <c r="S24" s="2" t="inlineStr">
        <is>
          <t>Low</t>
        </is>
      </c>
      <c r="T24" s="2" t="inlineStr">
        <is>
          <t>ORACC</t>
        </is>
      </c>
      <c r="U24" s="8" t="inlineStr">
        <is>
          <t>https://oracc.museum.upenn.edu/</t>
        </is>
      </c>
      <c r="V24" s="2" t="inlineStr">
        <is>
          <t>ORACC</t>
        </is>
      </c>
      <c r="W24" s="8" t="inlineStr">
        <is>
          <t>https://oracc.museum.upenn.edu/</t>
        </is>
      </c>
      <c r="X24" s="2" t="inlineStr">
        <is>
          <t>British Museum Collection</t>
        </is>
      </c>
      <c r="Y24" s="8" t="inlineStr">
        <is>
          <t>https://www.britishmuseum.org/collection</t>
        </is>
      </c>
      <c r="Z24" s="2" t="inlineStr">
        <is>
          <t>Penn Museum</t>
        </is>
      </c>
      <c r="AA24" s="8" t="inlineStr">
        <is>
          <t>https://www.penn.museum/</t>
        </is>
      </c>
      <c r="AB24" s="2" t="inlineStr">
        <is>
          <t>Pleiades</t>
        </is>
      </c>
      <c r="AC24" s="8" t="inlineStr">
        <is>
          <t>https://pleiades.stoa.org/</t>
        </is>
      </c>
      <c r="AD24" s="2" t="inlineStr">
        <is>
          <t>Shuruppak flood hero</t>
        </is>
      </c>
      <c r="AE24" s="2" t="inlineStr">
        <is>
          <t>Connect site cautiously to literary flood traditions.</t>
        </is>
      </c>
      <c r="AF24" s="2" t="inlineStr">
        <is>
          <t>Flood; survivor traditions</t>
        </is>
      </c>
      <c r="AG24" s="2" t="inlineStr">
        <is>
          <t>High</t>
        </is>
      </c>
      <c r="AH24" s="2" t="inlineStr">
        <is>
          <t>High</t>
        </is>
      </c>
      <c r="AI24" s="2" t="inlineStr"/>
      <c r="AJ24" t="inlineStr">
        <is>
          <t>https://oracc.museum.upenn.edu/</t>
        </is>
      </c>
      <c r="AK24" t="inlineStr">
        <is>
          <t>https://oracc.museum.upenn.edu/</t>
        </is>
      </c>
      <c r="AL24" t="inlineStr">
        <is>
          <t>https://www.britishmuseum.org/collection/search?keyword=Shuruppak+flood+hero</t>
        </is>
      </c>
      <c r="AM24" t="inlineStr">
        <is>
          <t>https://www.penn.museum/</t>
        </is>
      </c>
      <c r="AN24" t="inlineStr">
        <is>
          <t>https://pleiades.stoa.org/search?SearchableText=Shuruppak+flood+hero</t>
        </is>
      </c>
      <c r="AO24" t="inlineStr">
        <is>
          <t>1) Fact base: ORACC. 2) Translation/text: ORACC. 3) Images/objects: British Museum Collection. 4) Context/explanation: Penn Museum. 5) Geography/maps: Pleiades. Use Suggested_Search_Term inside each portal.</t>
        </is>
      </c>
      <c r="AP24" t="inlineStr">
        <is>
          <t>Mixed: direct portal homepages plus search-result URLs where the portal exposes a public search endpoint.</t>
        </is>
      </c>
    </row>
    <row r="25">
      <c r="A25" s="2" t="n">
        <v>24</v>
      </c>
      <c r="B25" s="7" t="inlineStr">
        <is>
          <t>BCE_to_1AD</t>
        </is>
      </c>
      <c r="C25" s="2" t="inlineStr">
        <is>
          <t>Mesopotamia</t>
        </is>
      </c>
      <c r="D25" s="2" t="inlineStr">
        <is>
          <t>Mesopotamian traditions</t>
        </is>
      </c>
      <c r="E25" s="2" t="n">
        <v>-2500</v>
      </c>
      <c r="F25" s="2" t="n">
        <v>-500</v>
      </c>
      <c r="G25" s="2" t="inlineStr">
        <is>
          <t>c. 2500 BCE to 500 BCE</t>
        </is>
      </c>
      <c r="H25" s="2" t="inlineStr">
        <is>
          <t>Sippar</t>
        </is>
      </c>
      <c r="I25" s="2" t="inlineStr">
        <is>
          <t>Site</t>
        </is>
      </c>
      <c r="J25" s="2" t="inlineStr">
        <is>
          <t>Archaeology</t>
        </is>
      </c>
      <c r="K25" s="2" t="inlineStr">
        <is>
          <t>Sun cult</t>
        </is>
      </c>
      <c r="L25" s="2" t="inlineStr">
        <is>
          <t>Text archives</t>
        </is>
      </c>
      <c r="M25" s="2" t="inlineStr">
        <is>
          <t>Iraq</t>
        </is>
      </c>
      <c r="N25" s="2" t="inlineStr">
        <is>
          <t>Northern Babylonia</t>
        </is>
      </c>
      <c r="O25" s="2" t="inlineStr">
        <is>
          <t>City of Shamash with important temple and archival tradition.</t>
        </is>
      </c>
      <c r="P25" s="2" t="inlineStr">
        <is>
          <t>Helpful for law, divination, and temple library studies.</t>
        </is>
      </c>
      <c r="Q25" s="2" t="inlineStr">
        <is>
          <t>Medium</t>
        </is>
      </c>
      <c r="R25" s="2" t="inlineStr">
        <is>
          <t>Partial</t>
        </is>
      </c>
      <c r="S25" s="2" t="inlineStr">
        <is>
          <t>Medium</t>
        </is>
      </c>
      <c r="T25" s="2" t="inlineStr">
        <is>
          <t>ORACC</t>
        </is>
      </c>
      <c r="U25" s="8" t="inlineStr">
        <is>
          <t>https://oracc.museum.upenn.edu/</t>
        </is>
      </c>
      <c r="V25" s="2" t="inlineStr">
        <is>
          <t>ORACC</t>
        </is>
      </c>
      <c r="W25" s="8" t="inlineStr">
        <is>
          <t>https://oracc.museum.upenn.edu/</t>
        </is>
      </c>
      <c r="X25" s="2" t="inlineStr">
        <is>
          <t>British Museum Collection</t>
        </is>
      </c>
      <c r="Y25" s="8" t="inlineStr">
        <is>
          <t>https://www.britishmuseum.org/collection</t>
        </is>
      </c>
      <c r="Z25" s="2" t="inlineStr">
        <is>
          <t>Penn Museum</t>
        </is>
      </c>
      <c r="AA25" s="8" t="inlineStr">
        <is>
          <t>https://www.penn.museum/</t>
        </is>
      </c>
      <c r="AB25" s="2" t="inlineStr">
        <is>
          <t>Pleiades</t>
        </is>
      </c>
      <c r="AC25" s="8" t="inlineStr">
        <is>
          <t>https://pleiades.stoa.org/</t>
        </is>
      </c>
      <c r="AD25" s="2" t="inlineStr">
        <is>
          <t>Sippar Shamash tablets</t>
        </is>
      </c>
      <c r="AE25" s="2" t="inlineStr">
        <is>
          <t>Often cited in later Chaldean and astronomical traditions.</t>
        </is>
      </c>
      <c r="AF25" s="2" t="inlineStr">
        <is>
          <t>Solar cult; omens</t>
        </is>
      </c>
      <c r="AG25" s="2" t="inlineStr">
        <is>
          <t>Medium</t>
        </is>
      </c>
      <c r="AH25" s="2" t="inlineStr">
        <is>
          <t>Medium</t>
        </is>
      </c>
      <c r="AI25" s="2" t="inlineStr"/>
      <c r="AJ25" t="inlineStr">
        <is>
          <t>https://oracc.museum.upenn.edu/</t>
        </is>
      </c>
      <c r="AK25" t="inlineStr">
        <is>
          <t>https://oracc.museum.upenn.edu/</t>
        </is>
      </c>
      <c r="AL25" t="inlineStr">
        <is>
          <t>https://www.britishmuseum.org/collection/search?keyword=Sippar+Shamash+tablets</t>
        </is>
      </c>
      <c r="AM25" t="inlineStr">
        <is>
          <t>https://www.penn.museum/</t>
        </is>
      </c>
      <c r="AN25" t="inlineStr">
        <is>
          <t>https://pleiades.stoa.org/search?SearchableText=Sippar+Shamash+tablets</t>
        </is>
      </c>
      <c r="AO25" t="inlineStr">
        <is>
          <t>1) Fact base: ORACC. 2) Translation/text: ORACC. 3) Images/objects: British Museum Collection. 4) Context/explanation: Penn Museum. 5) Geography/maps: Pleiades. Use Suggested_Search_Term inside each portal.</t>
        </is>
      </c>
      <c r="AP25" t="inlineStr">
        <is>
          <t>Mixed: direct portal homepages plus search-result URLs where the portal exposes a public search endpoint.</t>
        </is>
      </c>
    </row>
    <row r="26">
      <c r="A26" s="2" t="n">
        <v>25</v>
      </c>
      <c r="B26" s="7" t="inlineStr">
        <is>
          <t>BCE_to_1AD</t>
        </is>
      </c>
      <c r="C26" s="2" t="inlineStr">
        <is>
          <t>Mesopotamia</t>
        </is>
      </c>
      <c r="D26" s="2" t="inlineStr">
        <is>
          <t>Mesopotamian traditions</t>
        </is>
      </c>
      <c r="E26" s="2" t="n">
        <v>-7000</v>
      </c>
      <c r="F26" s="2" t="n">
        <v>-600</v>
      </c>
      <c r="G26" s="2" t="inlineStr">
        <is>
          <t>c. 7000 BCE to 600 BCE</t>
        </is>
      </c>
      <c r="H26" s="2" t="inlineStr">
        <is>
          <t>Nineveh</t>
        </is>
      </c>
      <c r="I26" s="2" t="inlineStr">
        <is>
          <t>Site</t>
        </is>
      </c>
      <c r="J26" s="2" t="inlineStr">
        <is>
          <t>Archaeology</t>
        </is>
      </c>
      <c r="K26" s="2" t="inlineStr">
        <is>
          <t>Library</t>
        </is>
      </c>
      <c r="L26" s="2" t="inlineStr">
        <is>
          <t>Empire</t>
        </is>
      </c>
      <c r="M26" s="2" t="inlineStr">
        <is>
          <t>Iraq</t>
        </is>
      </c>
      <c r="N26" s="2" t="inlineStr">
        <is>
          <t>Northern Mesopotamia</t>
        </is>
      </c>
      <c r="O26" s="2" t="inlineStr">
        <is>
          <t>Neo-Assyrian capital and home of Ashurbanipal's famous library.</t>
        </is>
      </c>
      <c r="P26" s="2" t="inlineStr">
        <is>
          <t>Critical for access to Gilgamesh, omens, lexical texts, and state archives.</t>
        </is>
      </c>
      <c r="Q26" s="2" t="inlineStr">
        <is>
          <t>High</t>
        </is>
      </c>
      <c r="R26" s="2" t="inlineStr">
        <is>
          <t>High</t>
        </is>
      </c>
      <c r="S26" s="2" t="inlineStr">
        <is>
          <t>High</t>
        </is>
      </c>
      <c r="T26" s="2" t="inlineStr">
        <is>
          <t>ORACC</t>
        </is>
      </c>
      <c r="U26" s="8" t="inlineStr">
        <is>
          <t>https://oracc.museum.upenn.edu/</t>
        </is>
      </c>
      <c r="V26" s="2" t="inlineStr">
        <is>
          <t>ORACC</t>
        </is>
      </c>
      <c r="W26" s="8" t="inlineStr">
        <is>
          <t>https://oracc.museum.upenn.edu/</t>
        </is>
      </c>
      <c r="X26" s="2" t="inlineStr">
        <is>
          <t>British Museum Collection</t>
        </is>
      </c>
      <c r="Y26" s="8" t="inlineStr">
        <is>
          <t>https://www.britishmuseum.org/collection</t>
        </is>
      </c>
      <c r="Z26" s="2" t="inlineStr">
        <is>
          <t>Penn Museum</t>
        </is>
      </c>
      <c r="AA26" s="8" t="inlineStr">
        <is>
          <t>https://www.penn.museum/</t>
        </is>
      </c>
      <c r="AB26" s="2" t="inlineStr">
        <is>
          <t>Pleiades</t>
        </is>
      </c>
      <c r="AC26" s="8" t="inlineStr">
        <is>
          <t>https://pleiades.stoa.org/</t>
        </is>
      </c>
      <c r="AD26" s="2" t="inlineStr">
        <is>
          <t>Ashurbanipal library</t>
        </is>
      </c>
      <c r="AE26" s="2" t="inlineStr">
        <is>
          <t>Many object pages and photographs survive via museum collections.</t>
        </is>
      </c>
      <c r="AF26" s="2" t="inlineStr">
        <is>
          <t>Epic; omens; imperial memory</t>
        </is>
      </c>
      <c r="AG26" s="2" t="inlineStr">
        <is>
          <t>Critical</t>
        </is>
      </c>
      <c r="AH26" s="2" t="inlineStr">
        <is>
          <t>High</t>
        </is>
      </c>
      <c r="AI26" s="2" t="inlineStr"/>
      <c r="AJ26" t="inlineStr">
        <is>
          <t>https://oracc.museum.upenn.edu/</t>
        </is>
      </c>
      <c r="AK26" t="inlineStr">
        <is>
          <t>https://oracc.museum.upenn.edu/</t>
        </is>
      </c>
      <c r="AL26" t="inlineStr">
        <is>
          <t>https://www.britishmuseum.org/collection/search?keyword=Ashurbanipal+library</t>
        </is>
      </c>
      <c r="AM26" t="inlineStr">
        <is>
          <t>https://www.penn.museum/</t>
        </is>
      </c>
      <c r="AN26" t="inlineStr">
        <is>
          <t>https://pleiades.stoa.org/search?SearchableText=Ashurbanipal+library</t>
        </is>
      </c>
      <c r="AO26" t="inlineStr">
        <is>
          <t>1) Fact base: ORACC. 2) Translation/text: ORACC. 3) Images/objects: British Museum Collection. 4) Context/explanation: Penn Museum. 5) Geography/maps: Pleiades. Use Suggested_Search_Term inside each portal.</t>
        </is>
      </c>
      <c r="AP26" t="inlineStr">
        <is>
          <t>Mixed: direct portal homepages plus search-result URLs where the portal exposes a public search endpoint.</t>
        </is>
      </c>
    </row>
    <row r="27">
      <c r="A27" s="2" t="n">
        <v>26</v>
      </c>
      <c r="B27" s="7" t="inlineStr">
        <is>
          <t>BCE_to_1AD</t>
        </is>
      </c>
      <c r="C27" s="2" t="inlineStr">
        <is>
          <t>Mesopotamia</t>
        </is>
      </c>
      <c r="D27" s="2" t="inlineStr">
        <is>
          <t>Mesopotamian traditions</t>
        </is>
      </c>
      <c r="E27" s="2" t="n">
        <v>-2500</v>
      </c>
      <c r="F27" s="2" t="n">
        <v>-600</v>
      </c>
      <c r="G27" s="2" t="inlineStr">
        <is>
          <t>c. 2500 BCE to 600 BCE</t>
        </is>
      </c>
      <c r="H27" s="2" t="inlineStr">
        <is>
          <t>Ashur</t>
        </is>
      </c>
      <c r="I27" s="2" t="inlineStr">
        <is>
          <t>Site</t>
        </is>
      </c>
      <c r="J27" s="2" t="inlineStr">
        <is>
          <t>Archaeology</t>
        </is>
      </c>
      <c r="K27" s="2" t="inlineStr">
        <is>
          <t>Temple</t>
        </is>
      </c>
      <c r="L27" s="2" t="inlineStr">
        <is>
          <t>Empire</t>
        </is>
      </c>
      <c r="M27" s="2" t="inlineStr">
        <is>
          <t>Iraq</t>
        </is>
      </c>
      <c r="N27" s="2" t="inlineStr">
        <is>
          <t>Upper Tigris</t>
        </is>
      </c>
      <c r="O27" s="2" t="inlineStr">
        <is>
          <t>Assyrian cult and political center with inscriptions and temples.</t>
        </is>
      </c>
      <c r="P27" s="2" t="inlineStr">
        <is>
          <t>Useful for state religion and Assyrian continuity.</t>
        </is>
      </c>
      <c r="Q27" s="2" t="inlineStr">
        <is>
          <t>Medium</t>
        </is>
      </c>
      <c r="R27" s="2" t="inlineStr">
        <is>
          <t>Partial</t>
        </is>
      </c>
      <c r="S27" s="2" t="inlineStr">
        <is>
          <t>Medium</t>
        </is>
      </c>
      <c r="T27" s="2" t="inlineStr">
        <is>
          <t>ORACC</t>
        </is>
      </c>
      <c r="U27" s="8" t="inlineStr">
        <is>
          <t>https://oracc.museum.upenn.edu/</t>
        </is>
      </c>
      <c r="V27" s="2" t="inlineStr">
        <is>
          <t>ORACC</t>
        </is>
      </c>
      <c r="W27" s="8" t="inlineStr">
        <is>
          <t>https://oracc.museum.upenn.edu/</t>
        </is>
      </c>
      <c r="X27" s="2" t="inlineStr">
        <is>
          <t>British Museum Collection</t>
        </is>
      </c>
      <c r="Y27" s="8" t="inlineStr">
        <is>
          <t>https://www.britishmuseum.org/collection</t>
        </is>
      </c>
      <c r="Z27" s="2" t="inlineStr">
        <is>
          <t>Penn Museum</t>
        </is>
      </c>
      <c r="AA27" s="8" t="inlineStr">
        <is>
          <t>https://www.penn.museum/</t>
        </is>
      </c>
      <c r="AB27" s="2" t="inlineStr">
        <is>
          <t>Pleiades</t>
        </is>
      </c>
      <c r="AC27" s="8" t="inlineStr">
        <is>
          <t>https://pleiades.stoa.org/</t>
        </is>
      </c>
      <c r="AD27" s="2" t="inlineStr">
        <is>
          <t>Ashur inscriptions</t>
        </is>
      </c>
      <c r="AE27" s="2" t="inlineStr">
        <is>
          <t>Often overshadowed by Nineveh in popular work.</t>
        </is>
      </c>
      <c r="AF27" s="2" t="inlineStr">
        <is>
          <t>Empire; divine kingship</t>
        </is>
      </c>
      <c r="AG27" s="2" t="inlineStr">
        <is>
          <t>Medium</t>
        </is>
      </c>
      <c r="AH27" s="2" t="inlineStr">
        <is>
          <t>Medium</t>
        </is>
      </c>
      <c r="AI27" s="2" t="inlineStr"/>
      <c r="AJ27" t="inlineStr">
        <is>
          <t>https://oracc.museum.upenn.edu/</t>
        </is>
      </c>
      <c r="AK27" t="inlineStr">
        <is>
          <t>https://oracc.museum.upenn.edu/</t>
        </is>
      </c>
      <c r="AL27" t="inlineStr">
        <is>
          <t>https://www.britishmuseum.org/collection/search?keyword=Ashur+inscriptions</t>
        </is>
      </c>
      <c r="AM27" t="inlineStr">
        <is>
          <t>https://www.penn.museum/</t>
        </is>
      </c>
      <c r="AN27" t="inlineStr">
        <is>
          <t>https://pleiades.stoa.org/search?SearchableText=Ashur+inscriptions</t>
        </is>
      </c>
      <c r="AO27" t="inlineStr">
        <is>
          <t>1) Fact base: ORACC. 2) Translation/text: ORACC. 3) Images/objects: British Museum Collection. 4) Context/explanation: Penn Museum. 5) Geography/maps: Pleiades. Use Suggested_Search_Term inside each portal.</t>
        </is>
      </c>
      <c r="AP27" t="inlineStr">
        <is>
          <t>Mixed: direct portal homepages plus search-result URLs where the portal exposes a public search endpoint.</t>
        </is>
      </c>
    </row>
    <row r="28">
      <c r="A28" s="2" t="n">
        <v>27</v>
      </c>
      <c r="B28" s="7" t="inlineStr">
        <is>
          <t>BCE_to_1AD</t>
        </is>
      </c>
      <c r="C28" s="2" t="inlineStr">
        <is>
          <t>Mesopotamia</t>
        </is>
      </c>
      <c r="D28" s="2" t="inlineStr">
        <is>
          <t>Mesopotamian traditions</t>
        </is>
      </c>
      <c r="E28" s="2" t="n">
        <v>-2900</v>
      </c>
      <c r="F28" s="2" t="n">
        <v>-1750</v>
      </c>
      <c r="G28" s="2" t="inlineStr">
        <is>
          <t>c. 2900 BCE to 1750 BCE</t>
        </is>
      </c>
      <c r="H28" s="2" t="inlineStr">
        <is>
          <t>Mari</t>
        </is>
      </c>
      <c r="I28" s="2" t="inlineStr">
        <is>
          <t>Site</t>
        </is>
      </c>
      <c r="J28" s="2" t="inlineStr">
        <is>
          <t>Archaeology</t>
        </is>
      </c>
      <c r="K28" s="2" t="inlineStr">
        <is>
          <t>Archives</t>
        </is>
      </c>
      <c r="L28" s="2" t="inlineStr">
        <is>
          <t>Diplomacy</t>
        </is>
      </c>
      <c r="M28" s="2" t="inlineStr">
        <is>
          <t>Syria</t>
        </is>
      </c>
      <c r="N28" s="2" t="inlineStr">
        <is>
          <t>Middle Euphrates</t>
        </is>
      </c>
      <c r="O28" s="2" t="inlineStr">
        <is>
          <t>Bronze Age palace archive yielding thousands of texts.</t>
        </is>
      </c>
      <c r="P28" s="2" t="inlineStr">
        <is>
          <t>Excellent for historical narrative, diplomacy, cult practice, and interregional links.</t>
        </is>
      </c>
      <c r="Q28" s="2" t="inlineStr">
        <is>
          <t>Medium</t>
        </is>
      </c>
      <c r="R28" s="2" t="inlineStr">
        <is>
          <t>High</t>
        </is>
      </c>
      <c r="S28" s="2" t="inlineStr">
        <is>
          <t>Medium</t>
        </is>
      </c>
      <c r="T28" s="2" t="inlineStr">
        <is>
          <t>ORACC</t>
        </is>
      </c>
      <c r="U28" s="8" t="inlineStr">
        <is>
          <t>https://oracc.museum.upenn.edu/</t>
        </is>
      </c>
      <c r="V28" s="2" t="inlineStr">
        <is>
          <t>ORACC</t>
        </is>
      </c>
      <c r="W28" s="8" t="inlineStr">
        <is>
          <t>https://oracc.museum.upenn.edu/</t>
        </is>
      </c>
      <c r="X28" s="2" t="inlineStr">
        <is>
          <t>British Museum Collection</t>
        </is>
      </c>
      <c r="Y28" s="8" t="inlineStr">
        <is>
          <t>https://www.britishmuseum.org/collection</t>
        </is>
      </c>
      <c r="Z28" s="2" t="inlineStr">
        <is>
          <t>Penn Museum</t>
        </is>
      </c>
      <c r="AA28" s="8" t="inlineStr">
        <is>
          <t>https://www.penn.museum/</t>
        </is>
      </c>
      <c r="AB28" s="2" t="inlineStr">
        <is>
          <t>Pleiades</t>
        </is>
      </c>
      <c r="AC28" s="8" t="inlineStr">
        <is>
          <t>https://pleiades.stoa.org/</t>
        </is>
      </c>
      <c r="AD28" s="2" t="inlineStr">
        <is>
          <t>Mari archives</t>
        </is>
      </c>
      <c r="AE28" s="2" t="inlineStr">
        <is>
          <t>Good balance of political and religious documentation.</t>
        </is>
      </c>
      <c r="AF28" s="2" t="inlineStr">
        <is>
          <t>Interregional exchange; prophecy</t>
        </is>
      </c>
      <c r="AG28" s="2" t="inlineStr">
        <is>
          <t>High</t>
        </is>
      </c>
      <c r="AH28" s="2" t="inlineStr">
        <is>
          <t>High</t>
        </is>
      </c>
      <c r="AI28" s="2" t="inlineStr"/>
      <c r="AJ28" t="inlineStr">
        <is>
          <t>https://oracc.museum.upenn.edu/</t>
        </is>
      </c>
      <c r="AK28" t="inlineStr">
        <is>
          <t>https://oracc.museum.upenn.edu/</t>
        </is>
      </c>
      <c r="AL28" t="inlineStr">
        <is>
          <t>https://www.britishmuseum.org/collection/search?keyword=Mari+archives</t>
        </is>
      </c>
      <c r="AM28" t="inlineStr">
        <is>
          <t>https://www.penn.museum/</t>
        </is>
      </c>
      <c r="AN28" t="inlineStr">
        <is>
          <t>https://pleiades.stoa.org/search?SearchableText=Mari+archives</t>
        </is>
      </c>
      <c r="AO28" t="inlineStr">
        <is>
          <t>1) Fact base: ORACC. 2) Translation/text: ORACC. 3) Images/objects: British Museum Collection. 4) Context/explanation: Penn Museum. 5) Geography/maps: Pleiades. Use Suggested_Search_Term inside each portal.</t>
        </is>
      </c>
      <c r="AP28" t="inlineStr">
        <is>
          <t>Mixed: direct portal homepages plus search-result URLs where the portal exposes a public search endpoint.</t>
        </is>
      </c>
    </row>
    <row r="29">
      <c r="A29" s="2" t="n">
        <v>28</v>
      </c>
      <c r="B29" s="7" t="inlineStr">
        <is>
          <t>BCE_to_1AD</t>
        </is>
      </c>
      <c r="C29" s="2" t="inlineStr">
        <is>
          <t>Mesopotamia</t>
        </is>
      </c>
      <c r="D29" s="2" t="inlineStr">
        <is>
          <t>Mesopotamian traditions</t>
        </is>
      </c>
      <c r="E29" s="2" t="n">
        <v>-3000</v>
      </c>
      <c r="F29" s="2" t="n">
        <v>-1600</v>
      </c>
      <c r="G29" s="2" t="inlineStr">
        <is>
          <t>c. 3000 BCE to 1600 BCE</t>
        </is>
      </c>
      <c r="H29" s="2" t="inlineStr">
        <is>
          <t>Ebla</t>
        </is>
      </c>
      <c r="I29" s="2" t="inlineStr">
        <is>
          <t>Site</t>
        </is>
      </c>
      <c r="J29" s="2" t="inlineStr">
        <is>
          <t>Archaeology</t>
        </is>
      </c>
      <c r="K29" s="2" t="inlineStr">
        <is>
          <t>Archives</t>
        </is>
      </c>
      <c r="L29" s="2" t="inlineStr">
        <is>
          <t>Administration</t>
        </is>
      </c>
      <c r="M29" s="2" t="inlineStr">
        <is>
          <t>Syria</t>
        </is>
      </c>
      <c r="N29" s="2" t="inlineStr">
        <is>
          <t>Northern Levant</t>
        </is>
      </c>
      <c r="O29" s="2" t="inlineStr">
        <is>
          <t>Bronze Age city with archive corpus documenting economy and diplomacy.</t>
        </is>
      </c>
      <c r="P29" s="2" t="inlineStr">
        <is>
          <t>Important for early Levant-Mesopotamia interactions and writing systems.</t>
        </is>
      </c>
      <c r="Q29" s="2" t="inlineStr">
        <is>
          <t>Medium</t>
        </is>
      </c>
      <c r="R29" s="2" t="inlineStr">
        <is>
          <t>Partial</t>
        </is>
      </c>
      <c r="S29" s="2" t="inlineStr">
        <is>
          <t>Medium</t>
        </is>
      </c>
      <c r="T29" s="2" t="inlineStr">
        <is>
          <t>ORACC</t>
        </is>
      </c>
      <c r="U29" s="8" t="inlineStr">
        <is>
          <t>https://oracc.museum.upenn.edu/</t>
        </is>
      </c>
      <c r="V29" s="2" t="inlineStr">
        <is>
          <t>ORACC</t>
        </is>
      </c>
      <c r="W29" s="8" t="inlineStr">
        <is>
          <t>https://oracc.museum.upenn.edu/</t>
        </is>
      </c>
      <c r="X29" s="2" t="inlineStr">
        <is>
          <t>British Museum Collection</t>
        </is>
      </c>
      <c r="Y29" s="8" t="inlineStr">
        <is>
          <t>https://www.britishmuseum.org/collection</t>
        </is>
      </c>
      <c r="Z29" s="2" t="inlineStr">
        <is>
          <t>Penn Museum</t>
        </is>
      </c>
      <c r="AA29" s="8" t="inlineStr">
        <is>
          <t>https://www.penn.museum/</t>
        </is>
      </c>
      <c r="AB29" s="2" t="inlineStr">
        <is>
          <t>Pleiades</t>
        </is>
      </c>
      <c r="AC29" s="8" t="inlineStr">
        <is>
          <t>https://pleiades.stoa.org/</t>
        </is>
      </c>
      <c r="AD29" s="2" t="inlineStr">
        <is>
          <t>Ebla tablets</t>
        </is>
      </c>
      <c r="AE29" s="2" t="inlineStr">
        <is>
          <t>Translation quality varies by publication.</t>
        </is>
      </c>
      <c r="AF29" s="2" t="inlineStr">
        <is>
          <t>Archives; early state networks</t>
        </is>
      </c>
      <c r="AG29" s="2" t="inlineStr">
        <is>
          <t>High</t>
        </is>
      </c>
      <c r="AH29" s="2" t="inlineStr">
        <is>
          <t>Medium</t>
        </is>
      </c>
      <c r="AI29" s="2" t="inlineStr"/>
      <c r="AJ29" t="inlineStr">
        <is>
          <t>https://oracc.museum.upenn.edu/</t>
        </is>
      </c>
      <c r="AK29" t="inlineStr">
        <is>
          <t>https://oracc.museum.upenn.edu/</t>
        </is>
      </c>
      <c r="AL29" t="inlineStr">
        <is>
          <t>https://www.britishmuseum.org/collection/search?keyword=Ebla+tablets</t>
        </is>
      </c>
      <c r="AM29" t="inlineStr">
        <is>
          <t>https://www.penn.museum/</t>
        </is>
      </c>
      <c r="AN29" t="inlineStr">
        <is>
          <t>https://pleiades.stoa.org/search?SearchableText=Ebla+tablets</t>
        </is>
      </c>
      <c r="AO29" t="inlineStr">
        <is>
          <t>1) Fact base: ORACC. 2) Translation/text: ORACC. 3) Images/objects: British Museum Collection. 4) Context/explanation: Penn Museum. 5) Geography/maps: Pleiades. Use Suggested_Search_Term inside each portal.</t>
        </is>
      </c>
      <c r="AP29" t="inlineStr">
        <is>
          <t>Mixed: direct portal homepages plus search-result URLs where the portal exposes a public search endpoint.</t>
        </is>
      </c>
    </row>
    <row r="30">
      <c r="A30" s="2" t="n">
        <v>29</v>
      </c>
      <c r="B30" s="7" t="inlineStr">
        <is>
          <t>BCE_to_1AD</t>
        </is>
      </c>
      <c r="C30" s="2" t="inlineStr">
        <is>
          <t>Mesopotamia</t>
        </is>
      </c>
      <c r="D30" s="2" t="inlineStr">
        <is>
          <t>Mesopotamian traditions</t>
        </is>
      </c>
      <c r="E30" s="2" t="n">
        <v>-2100</v>
      </c>
      <c r="F30" s="2" t="n">
        <v>-1600</v>
      </c>
      <c r="G30" s="2" t="inlineStr">
        <is>
          <t>c. 2100 BCE to 1600 BCE</t>
        </is>
      </c>
      <c r="H30" s="2" t="inlineStr">
        <is>
          <t>Sumerian King List</t>
        </is>
      </c>
      <c r="I30" s="2" t="inlineStr">
        <is>
          <t>Text</t>
        </is>
      </c>
      <c r="J30" s="2" t="inlineStr">
        <is>
          <t>Tablet corpus</t>
        </is>
      </c>
      <c r="K30" s="2" t="inlineStr">
        <is>
          <t>Kingship</t>
        </is>
      </c>
      <c r="L30" s="2" t="inlineStr">
        <is>
          <t>Chronology</t>
        </is>
      </c>
      <c r="M30" s="2" t="inlineStr">
        <is>
          <t>Iraq</t>
        </is>
      </c>
      <c r="N30" s="2" t="inlineStr">
        <is>
          <t>Mesopotamian literary-historiographic tradition</t>
        </is>
      </c>
      <c r="O30" s="2" t="inlineStr">
        <is>
          <t>Text that organizes pre- and post-flood kingship into sequential dynasties.</t>
        </is>
      </c>
      <c r="P30" s="2" t="inlineStr">
        <is>
          <t>Essential for reconstructing how Mesopotamians remembered remote antiquity.</t>
        </is>
      </c>
      <c r="Q30" s="2" t="inlineStr">
        <is>
          <t>High</t>
        </is>
      </c>
      <c r="R30" s="2" t="inlineStr">
        <is>
          <t>High</t>
        </is>
      </c>
      <c r="S30" s="2" t="inlineStr">
        <is>
          <t>Medium</t>
        </is>
      </c>
      <c r="T30" s="2" t="inlineStr">
        <is>
          <t>ORACC</t>
        </is>
      </c>
      <c r="U30" s="8" t="inlineStr">
        <is>
          <t>https://oracc.museum.upenn.edu/</t>
        </is>
      </c>
      <c r="V30" s="2" t="inlineStr">
        <is>
          <t>ETCSL</t>
        </is>
      </c>
      <c r="W30" s="8" t="inlineStr">
        <is>
          <t>https://etcsl.orinst.ox.ac.uk/</t>
        </is>
      </c>
      <c r="X30" s="2" t="inlineStr">
        <is>
          <t>British Museum Collection</t>
        </is>
      </c>
      <c r="Y30" s="8" t="inlineStr">
        <is>
          <t>https://www.britishmuseum.org/collection</t>
        </is>
      </c>
      <c r="Z30" s="2" t="inlineStr">
        <is>
          <t>Penn Museum</t>
        </is>
      </c>
      <c r="AA30" s="8" t="inlineStr">
        <is>
          <t>https://www.penn.museum/</t>
        </is>
      </c>
      <c r="AB30" s="2" t="inlineStr">
        <is>
          <t>Pleiades</t>
        </is>
      </c>
      <c r="AC30" s="8" t="inlineStr">
        <is>
          <t>https://pleiades.stoa.org/</t>
        </is>
      </c>
      <c r="AD30" s="2" t="inlineStr">
        <is>
          <t>Sumerian King List</t>
        </is>
      </c>
      <c r="AE30" s="2" t="inlineStr">
        <is>
          <t>Not a neutral chronology; it is ideological historiography.</t>
        </is>
      </c>
      <c r="AF30" s="2" t="inlineStr">
        <is>
          <t>Flood divide; dynastic memory</t>
        </is>
      </c>
      <c r="AG30" s="2" t="inlineStr">
        <is>
          <t>Critical</t>
        </is>
      </c>
      <c r="AH30" s="2" t="inlineStr">
        <is>
          <t>High</t>
        </is>
      </c>
      <c r="AI30" s="2" t="inlineStr"/>
      <c r="AJ30" t="inlineStr">
        <is>
          <t>https://oracc.museum.upenn.edu/</t>
        </is>
      </c>
      <c r="AK30" t="inlineStr">
        <is>
          <t>https://etcsl.orinst.ox.ac.uk/</t>
        </is>
      </c>
      <c r="AL30" t="inlineStr">
        <is>
          <t>https://www.britishmuseum.org/collection/search?keyword=Sumerian+King+List</t>
        </is>
      </c>
      <c r="AM30" t="inlineStr">
        <is>
          <t>https://www.penn.museum/</t>
        </is>
      </c>
      <c r="AN30" t="inlineStr">
        <is>
          <t>https://pleiades.stoa.org/search?SearchableText=Sumerian+King+List</t>
        </is>
      </c>
      <c r="AO30" t="inlineStr">
        <is>
          <t>1) Fact base: ORACC. 2) Translation/text: ETCSL. 3) Images/objects: British Museum Collection. 4) Context/explanation: Penn Museum. 5) Geography/maps: Pleiades. Use Suggested_Search_Term inside each portal.</t>
        </is>
      </c>
      <c r="AP30" t="inlineStr">
        <is>
          <t>Mixed: direct portal homepages plus search-result URLs where the portal exposes a public search endpoint.</t>
        </is>
      </c>
    </row>
    <row r="31">
      <c r="A31" s="2" t="n">
        <v>30</v>
      </c>
      <c r="B31" s="7" t="inlineStr">
        <is>
          <t>BCE_to_1AD</t>
        </is>
      </c>
      <c r="C31" s="2" t="inlineStr">
        <is>
          <t>Mesopotamia</t>
        </is>
      </c>
      <c r="D31" s="2" t="inlineStr">
        <is>
          <t>Mesopotamian traditions</t>
        </is>
      </c>
      <c r="E31" s="2" t="n">
        <v>-2100</v>
      </c>
      <c r="F31" s="2" t="n">
        <v>-1600</v>
      </c>
      <c r="G31" s="2" t="inlineStr">
        <is>
          <t>c. 2100 BCE to 1600 BCE</t>
        </is>
      </c>
      <c r="H31" s="2" t="inlineStr">
        <is>
          <t>Eridu Genesis</t>
        </is>
      </c>
      <c r="I31" s="2" t="inlineStr">
        <is>
          <t>Text</t>
        </is>
      </c>
      <c r="J31" s="2" t="inlineStr">
        <is>
          <t>Tablet corpus</t>
        </is>
      </c>
      <c r="K31" s="2" t="inlineStr">
        <is>
          <t>Creation</t>
        </is>
      </c>
      <c r="L31" s="2" t="inlineStr">
        <is>
          <t>Flood</t>
        </is>
      </c>
      <c r="M31" s="2" t="inlineStr">
        <is>
          <t>Iraq</t>
        </is>
      </c>
      <c r="N31" s="2" t="inlineStr">
        <is>
          <t>Sumerian literary tradition</t>
        </is>
      </c>
      <c r="O31" s="2" t="inlineStr">
        <is>
          <t>Sumerian composition linking creation, kingship, and flood narrative.</t>
        </is>
      </c>
      <c r="P31" s="2" t="inlineStr">
        <is>
          <t>One of the most important texts for pre-flood story architecture.</t>
        </is>
      </c>
      <c r="Q31" s="2" t="inlineStr">
        <is>
          <t>High</t>
        </is>
      </c>
      <c r="R31" s="2" t="inlineStr">
        <is>
          <t>High</t>
        </is>
      </c>
      <c r="S31" s="2" t="inlineStr">
        <is>
          <t>Low</t>
        </is>
      </c>
      <c r="T31" s="2" t="inlineStr">
        <is>
          <t>ORACC</t>
        </is>
      </c>
      <c r="U31" s="8" t="inlineStr">
        <is>
          <t>https://oracc.museum.upenn.edu/</t>
        </is>
      </c>
      <c r="V31" s="2" t="inlineStr">
        <is>
          <t>ETCSL</t>
        </is>
      </c>
      <c r="W31" s="8" t="inlineStr">
        <is>
          <t>https://etcsl.orinst.ox.ac.uk/</t>
        </is>
      </c>
      <c r="X31" s="2" t="inlineStr">
        <is>
          <t>British Museum Collection</t>
        </is>
      </c>
      <c r="Y31" s="8" t="inlineStr">
        <is>
          <t>https://www.britishmuseum.org/collection</t>
        </is>
      </c>
      <c r="Z31" s="2" t="inlineStr">
        <is>
          <t>Penn Museum</t>
        </is>
      </c>
      <c r="AA31" s="8" t="inlineStr">
        <is>
          <t>https://www.penn.museum/</t>
        </is>
      </c>
      <c r="AB31" s="2" t="inlineStr">
        <is>
          <t>Pleiades</t>
        </is>
      </c>
      <c r="AC31" s="8" t="inlineStr">
        <is>
          <t>https://pleiades.stoa.org/</t>
        </is>
      </c>
      <c r="AD31" s="2" t="inlineStr">
        <is>
          <t>Eridu Genesis flood creation</t>
        </is>
      </c>
      <c r="AE31" s="2" t="inlineStr">
        <is>
          <t>Fragments and reconstructions differ; read with commentary.</t>
        </is>
      </c>
      <c r="AF31" s="2" t="inlineStr">
        <is>
          <t>Creation; flood; kingship</t>
        </is>
      </c>
      <c r="AG31" s="2" t="inlineStr">
        <is>
          <t>Critical</t>
        </is>
      </c>
      <c r="AH31" s="2" t="inlineStr">
        <is>
          <t>High</t>
        </is>
      </c>
      <c r="AI31" s="2" t="inlineStr"/>
      <c r="AJ31" t="inlineStr">
        <is>
          <t>https://oracc.museum.upenn.edu/</t>
        </is>
      </c>
      <c r="AK31" t="inlineStr">
        <is>
          <t>https://etcsl.orinst.ox.ac.uk/</t>
        </is>
      </c>
      <c r="AL31" t="inlineStr">
        <is>
          <t>https://www.britishmuseum.org/collection/search?keyword=Eridu+Genesis+flood+creation</t>
        </is>
      </c>
      <c r="AM31" t="inlineStr">
        <is>
          <t>https://www.penn.museum/</t>
        </is>
      </c>
      <c r="AN31" t="inlineStr">
        <is>
          <t>https://pleiades.stoa.org/search?SearchableText=Eridu+Genesis+flood+creation</t>
        </is>
      </c>
      <c r="AO31" t="inlineStr">
        <is>
          <t>1) Fact base: ORACC. 2) Translation/text: ETCSL. 3) Images/objects: British Museum Collection. 4) Context/explanation: Penn Museum. 5) Geography/maps: Pleiades. Use Suggested_Search_Term inside each portal.</t>
        </is>
      </c>
      <c r="AP31" t="inlineStr">
        <is>
          <t>Mixed: direct portal homepages plus search-result URLs where the portal exposes a public search endpoint.</t>
        </is>
      </c>
    </row>
    <row r="32">
      <c r="A32" s="2" t="n">
        <v>31</v>
      </c>
      <c r="B32" s="7" t="inlineStr">
        <is>
          <t>BCE_to_1AD</t>
        </is>
      </c>
      <c r="C32" s="2" t="inlineStr">
        <is>
          <t>Mesopotamia</t>
        </is>
      </c>
      <c r="D32" s="2" t="inlineStr">
        <is>
          <t>Mesopotamian traditions</t>
        </is>
      </c>
      <c r="E32" s="2" t="n">
        <v>-1800</v>
      </c>
      <c r="F32" s="2" t="n">
        <v>-1100</v>
      </c>
      <c r="G32" s="2" t="inlineStr">
        <is>
          <t>c. 1800 BCE to 1100 BCE</t>
        </is>
      </c>
      <c r="H32" s="2" t="inlineStr">
        <is>
          <t>Epic of Gilgamesh</t>
        </is>
      </c>
      <c r="I32" s="2" t="inlineStr">
        <is>
          <t>Text</t>
        </is>
      </c>
      <c r="J32" s="2" t="inlineStr">
        <is>
          <t>Tablet corpus</t>
        </is>
      </c>
      <c r="K32" s="2" t="inlineStr">
        <is>
          <t>Epic</t>
        </is>
      </c>
      <c r="L32" s="2" t="inlineStr">
        <is>
          <t>Flood</t>
        </is>
      </c>
      <c r="M32" s="2" t="inlineStr">
        <is>
          <t>Iraq</t>
        </is>
      </c>
      <c r="N32" s="2" t="inlineStr">
        <is>
          <t>Akkadian literary tradition</t>
        </is>
      </c>
      <c r="O32" s="2" t="inlineStr">
        <is>
          <t>Epic centered on Gilgamesh of Uruk, including the Utnapishtim flood narrative in Standard Babylonian form.</t>
        </is>
      </c>
      <c r="P32" s="2" t="inlineStr">
        <is>
          <t>The single most cited Mesopotamian text in alternative ancient-history narratives.</t>
        </is>
      </c>
      <c r="Q32" s="2" t="inlineStr">
        <is>
          <t>High</t>
        </is>
      </c>
      <c r="R32" s="2" t="inlineStr">
        <is>
          <t>High</t>
        </is>
      </c>
      <c r="S32" s="2" t="inlineStr">
        <is>
          <t>High</t>
        </is>
      </c>
      <c r="T32" s="2" t="inlineStr">
        <is>
          <t>ORACC</t>
        </is>
      </c>
      <c r="U32" s="8" t="inlineStr">
        <is>
          <t>https://oracc.museum.upenn.edu/</t>
        </is>
      </c>
      <c r="V32" s="2" t="inlineStr">
        <is>
          <t>ETCSL</t>
        </is>
      </c>
      <c r="W32" s="8" t="inlineStr">
        <is>
          <t>https://etcsl.orinst.ox.ac.uk/</t>
        </is>
      </c>
      <c r="X32" s="2" t="inlineStr">
        <is>
          <t>British Museum Collection</t>
        </is>
      </c>
      <c r="Y32" s="8" t="inlineStr">
        <is>
          <t>https://www.britishmuseum.org/collection</t>
        </is>
      </c>
      <c r="Z32" s="2" t="inlineStr">
        <is>
          <t>Penn Museum</t>
        </is>
      </c>
      <c r="AA32" s="8" t="inlineStr">
        <is>
          <t>https://www.penn.museum/</t>
        </is>
      </c>
      <c r="AB32" s="2" t="inlineStr">
        <is>
          <t>Pleiades</t>
        </is>
      </c>
      <c r="AC32" s="8" t="inlineStr">
        <is>
          <t>https://pleiades.stoa.org/</t>
        </is>
      </c>
      <c r="AD32" s="2" t="inlineStr">
        <is>
          <t>Gilgamesh tablet XI</t>
        </is>
      </c>
      <c r="AE32" s="2" t="inlineStr">
        <is>
          <t>Use the specific version and tablet witness when citing passages.</t>
        </is>
      </c>
      <c r="AF32" s="2" t="inlineStr">
        <is>
          <t>Hero quest; flood memory; mortality</t>
        </is>
      </c>
      <c r="AG32" s="2" t="inlineStr">
        <is>
          <t>Critical</t>
        </is>
      </c>
      <c r="AH32" s="2" t="inlineStr">
        <is>
          <t>High</t>
        </is>
      </c>
      <c r="AI32" s="2" t="inlineStr"/>
      <c r="AJ32" t="inlineStr">
        <is>
          <t>https://oracc.museum.upenn.edu/</t>
        </is>
      </c>
      <c r="AK32" t="inlineStr">
        <is>
          <t>https://etcsl.orinst.ox.ac.uk/</t>
        </is>
      </c>
      <c r="AL32" t="inlineStr">
        <is>
          <t>https://www.britishmuseum.org/collection/search?keyword=Gilgamesh+tablet+XI</t>
        </is>
      </c>
      <c r="AM32" t="inlineStr">
        <is>
          <t>https://www.penn.museum/</t>
        </is>
      </c>
      <c r="AN32" t="inlineStr">
        <is>
          <t>https://pleiades.stoa.org/search?SearchableText=Gilgamesh+tablet+XI</t>
        </is>
      </c>
      <c r="AO32" t="inlineStr">
        <is>
          <t>1) Fact base: ORACC. 2) Translation/text: ETCSL. 3) Images/objects: British Museum Collection. 4) Context/explanation: Penn Museum. 5) Geography/maps: Pleiades. Use Suggested_Search_Term inside each portal.</t>
        </is>
      </c>
      <c r="AP32" t="inlineStr">
        <is>
          <t>Mixed: direct portal homepages plus search-result URLs where the portal exposes a public search endpoint.</t>
        </is>
      </c>
    </row>
    <row r="33">
      <c r="A33" s="2" t="n">
        <v>32</v>
      </c>
      <c r="B33" s="7" t="inlineStr">
        <is>
          <t>BCE_to_1AD</t>
        </is>
      </c>
      <c r="C33" s="2" t="inlineStr">
        <is>
          <t>Mesopotamia</t>
        </is>
      </c>
      <c r="D33" s="2" t="inlineStr">
        <is>
          <t>Mesopotamian traditions</t>
        </is>
      </c>
      <c r="E33" s="2" t="n">
        <v>-1700</v>
      </c>
      <c r="F33" s="2" t="n">
        <v>-1100</v>
      </c>
      <c r="G33" s="2" t="inlineStr">
        <is>
          <t>c. 1700 BCE to 1100 BCE</t>
        </is>
      </c>
      <c r="H33" s="2" t="inlineStr">
        <is>
          <t>Atrahasis</t>
        </is>
      </c>
      <c r="I33" s="2" t="inlineStr">
        <is>
          <t>Text</t>
        </is>
      </c>
      <c r="J33" s="2" t="inlineStr">
        <is>
          <t>Tablet corpus</t>
        </is>
      </c>
      <c r="K33" s="2" t="inlineStr">
        <is>
          <t>Flood</t>
        </is>
      </c>
      <c r="L33" s="2" t="inlineStr">
        <is>
          <t>Divine-human conflict</t>
        </is>
      </c>
      <c r="M33" s="2" t="inlineStr">
        <is>
          <t>Iraq</t>
        </is>
      </c>
      <c r="N33" s="2" t="inlineStr">
        <is>
          <t>Old Babylonian / Akkadian tradition</t>
        </is>
      </c>
      <c r="O33" s="2" t="inlineStr">
        <is>
          <t>Flood epic explaining human creation, population growth, and divine response.</t>
        </is>
      </c>
      <c r="P33" s="2" t="inlineStr">
        <is>
          <t>Key comparative flood narrative alongside Genesis and Gilgamesh.</t>
        </is>
      </c>
      <c r="Q33" s="2" t="inlineStr">
        <is>
          <t>High</t>
        </is>
      </c>
      <c r="R33" s="2" t="inlineStr">
        <is>
          <t>High</t>
        </is>
      </c>
      <c r="S33" s="2" t="inlineStr">
        <is>
          <t>Medium</t>
        </is>
      </c>
      <c r="T33" s="2" t="inlineStr">
        <is>
          <t>ORACC</t>
        </is>
      </c>
      <c r="U33" s="8" t="inlineStr">
        <is>
          <t>https://oracc.museum.upenn.edu/</t>
        </is>
      </c>
      <c r="V33" s="2" t="inlineStr">
        <is>
          <t>ETCSL</t>
        </is>
      </c>
      <c r="W33" s="8" t="inlineStr">
        <is>
          <t>https://etcsl.orinst.ox.ac.uk/</t>
        </is>
      </c>
      <c r="X33" s="2" t="inlineStr">
        <is>
          <t>British Museum Collection</t>
        </is>
      </c>
      <c r="Y33" s="8" t="inlineStr">
        <is>
          <t>https://www.britishmuseum.org/collection</t>
        </is>
      </c>
      <c r="Z33" s="2" t="inlineStr">
        <is>
          <t>Penn Museum</t>
        </is>
      </c>
      <c r="AA33" s="8" t="inlineStr">
        <is>
          <t>https://www.penn.museum/</t>
        </is>
      </c>
      <c r="AB33" s="2" t="inlineStr">
        <is>
          <t>Pleiades</t>
        </is>
      </c>
      <c r="AC33" s="8" t="inlineStr">
        <is>
          <t>https://pleiades.stoa.org/</t>
        </is>
      </c>
      <c r="AD33" s="2" t="inlineStr">
        <is>
          <t>Atrahasis epic</t>
        </is>
      </c>
      <c r="AE33" s="2" t="inlineStr">
        <is>
          <t>Very important for comparing cause-of-flood traditions.</t>
        </is>
      </c>
      <c r="AF33" s="2" t="inlineStr">
        <is>
          <t>Flood; creation of humans</t>
        </is>
      </c>
      <c r="AG33" s="2" t="inlineStr">
        <is>
          <t>Critical</t>
        </is>
      </c>
      <c r="AH33" s="2" t="inlineStr">
        <is>
          <t>High</t>
        </is>
      </c>
      <c r="AI33" s="2" t="inlineStr"/>
      <c r="AJ33" t="inlineStr">
        <is>
          <t>https://oracc.museum.upenn.edu/</t>
        </is>
      </c>
      <c r="AK33" t="inlineStr">
        <is>
          <t>https://etcsl.orinst.ox.ac.uk/</t>
        </is>
      </c>
      <c r="AL33" t="inlineStr">
        <is>
          <t>https://www.britishmuseum.org/collection/search?keyword=Atrahasis+epic</t>
        </is>
      </c>
      <c r="AM33" t="inlineStr">
        <is>
          <t>https://www.penn.museum/</t>
        </is>
      </c>
      <c r="AN33" t="inlineStr">
        <is>
          <t>https://pleiades.stoa.org/search?SearchableText=Atrahasis+epic</t>
        </is>
      </c>
      <c r="AO33" t="inlineStr">
        <is>
          <t>1) Fact base: ORACC. 2) Translation/text: ETCSL. 3) Images/objects: British Museum Collection. 4) Context/explanation: Penn Museum. 5) Geography/maps: Pleiades. Use Suggested_Search_Term inside each portal.</t>
        </is>
      </c>
      <c r="AP33" t="inlineStr">
        <is>
          <t>Mixed: direct portal homepages plus search-result URLs where the portal exposes a public search endpoint.</t>
        </is>
      </c>
    </row>
    <row r="34">
      <c r="A34" s="2" t="n">
        <v>33</v>
      </c>
      <c r="B34" s="7" t="inlineStr">
        <is>
          <t>BCE_to_1AD</t>
        </is>
      </c>
      <c r="C34" s="2" t="inlineStr">
        <is>
          <t>Mesopotamia</t>
        </is>
      </c>
      <c r="D34" s="2" t="inlineStr">
        <is>
          <t>Mesopotamian traditions</t>
        </is>
      </c>
      <c r="E34" s="2" t="n">
        <v>-2100</v>
      </c>
      <c r="F34" s="2" t="n">
        <v>-1600</v>
      </c>
      <c r="G34" s="2" t="inlineStr">
        <is>
          <t>c. 2100 BCE to 1600 BCE</t>
        </is>
      </c>
      <c r="H34" s="2" t="inlineStr">
        <is>
          <t>Ziusudra Flood Story</t>
        </is>
      </c>
      <c r="I34" s="2" t="inlineStr">
        <is>
          <t>Text</t>
        </is>
      </c>
      <c r="J34" s="2" t="inlineStr">
        <is>
          <t>Tablet corpus</t>
        </is>
      </c>
      <c r="K34" s="2" t="inlineStr">
        <is>
          <t>Flood</t>
        </is>
      </c>
      <c r="L34" s="2" t="inlineStr">
        <is>
          <t>Survivor</t>
        </is>
      </c>
      <c r="M34" s="2" t="inlineStr">
        <is>
          <t>Iraq</t>
        </is>
      </c>
      <c r="N34" s="2" t="inlineStr">
        <is>
          <t>Sumerian tradition</t>
        </is>
      </c>
      <c r="O34" s="2" t="inlineStr">
        <is>
          <t>Sumerian flood tale centered on Ziusudra, a predecessor to later flood heroes.</t>
        </is>
      </c>
      <c r="P34" s="2" t="inlineStr">
        <is>
          <t>Lets you trace the flood tradition back into Sumerian literature.</t>
        </is>
      </c>
      <c r="Q34" s="2" t="inlineStr">
        <is>
          <t>High</t>
        </is>
      </c>
      <c r="R34" s="2" t="inlineStr">
        <is>
          <t>High</t>
        </is>
      </c>
      <c r="S34" s="2" t="inlineStr">
        <is>
          <t>Low</t>
        </is>
      </c>
      <c r="T34" s="2" t="inlineStr">
        <is>
          <t>ORACC</t>
        </is>
      </c>
      <c r="U34" s="8" t="inlineStr">
        <is>
          <t>https://oracc.museum.upenn.edu/</t>
        </is>
      </c>
      <c r="V34" s="2" t="inlineStr">
        <is>
          <t>ETCSL</t>
        </is>
      </c>
      <c r="W34" s="8" t="inlineStr">
        <is>
          <t>https://etcsl.orinst.ox.ac.uk/</t>
        </is>
      </c>
      <c r="X34" s="2" t="inlineStr">
        <is>
          <t>British Museum Collection</t>
        </is>
      </c>
      <c r="Y34" s="8" t="inlineStr">
        <is>
          <t>https://www.britishmuseum.org/collection</t>
        </is>
      </c>
      <c r="Z34" s="2" t="inlineStr">
        <is>
          <t>Penn Museum</t>
        </is>
      </c>
      <c r="AA34" s="8" t="inlineStr">
        <is>
          <t>https://www.penn.museum/</t>
        </is>
      </c>
      <c r="AB34" s="2" t="inlineStr">
        <is>
          <t>Pleiades</t>
        </is>
      </c>
      <c r="AC34" s="8" t="inlineStr">
        <is>
          <t>https://pleiades.stoa.org/</t>
        </is>
      </c>
      <c r="AD34" s="2" t="inlineStr">
        <is>
          <t>Ziusudra flood ETCSL</t>
        </is>
      </c>
      <c r="AE34" s="2" t="inlineStr">
        <is>
          <t>Fragmentary; compare directly with Atrahasis and Gilgamesh.</t>
        </is>
      </c>
      <c r="AF34" s="2" t="inlineStr">
        <is>
          <t>Flood hero chain</t>
        </is>
      </c>
      <c r="AG34" s="2" t="inlineStr">
        <is>
          <t>High</t>
        </is>
      </c>
      <c r="AH34" s="2" t="inlineStr">
        <is>
          <t>High</t>
        </is>
      </c>
      <c r="AI34" s="2" t="inlineStr"/>
      <c r="AJ34" t="inlineStr">
        <is>
          <t>https://oracc.museum.upenn.edu/</t>
        </is>
      </c>
      <c r="AK34" t="inlineStr">
        <is>
          <t>https://etcsl.orinst.ox.ac.uk/</t>
        </is>
      </c>
      <c r="AL34" t="inlineStr">
        <is>
          <t>https://www.britishmuseum.org/collection/search?keyword=Ziusudra+flood+ETCSL</t>
        </is>
      </c>
      <c r="AM34" t="inlineStr">
        <is>
          <t>https://www.penn.museum/</t>
        </is>
      </c>
      <c r="AN34" t="inlineStr">
        <is>
          <t>https://pleiades.stoa.org/search?SearchableText=Ziusudra+flood+ETCSL</t>
        </is>
      </c>
      <c r="AO34" t="inlineStr">
        <is>
          <t>1) Fact base: ORACC. 2) Translation/text: ETCSL. 3) Images/objects: British Museum Collection. 4) Context/explanation: Penn Museum. 5) Geography/maps: Pleiades. Use Suggested_Search_Term inside each portal.</t>
        </is>
      </c>
      <c r="AP34" t="inlineStr">
        <is>
          <t>Mixed: direct portal homepages plus search-result URLs where the portal exposes a public search endpoint.</t>
        </is>
      </c>
    </row>
    <row r="35">
      <c r="A35" s="2" t="n">
        <v>34</v>
      </c>
      <c r="B35" s="7" t="inlineStr">
        <is>
          <t>BCE_to_1AD</t>
        </is>
      </c>
      <c r="C35" s="2" t="inlineStr">
        <is>
          <t>Mesopotamia</t>
        </is>
      </c>
      <c r="D35" s="2" t="inlineStr">
        <is>
          <t>Mesopotamian traditions</t>
        </is>
      </c>
      <c r="E35" s="2" t="n">
        <v>-1700</v>
      </c>
      <c r="F35" s="2" t="n">
        <v>-1000</v>
      </c>
      <c r="G35" s="2" t="inlineStr">
        <is>
          <t>c. 1700 BCE to 1000 BCE</t>
        </is>
      </c>
      <c r="H35" s="2" t="inlineStr">
        <is>
          <t>Enuma Elish</t>
        </is>
      </c>
      <c r="I35" s="2" t="inlineStr">
        <is>
          <t>Text</t>
        </is>
      </c>
      <c r="J35" s="2" t="inlineStr">
        <is>
          <t>Tablet corpus</t>
        </is>
      </c>
      <c r="K35" s="2" t="inlineStr">
        <is>
          <t>Creation</t>
        </is>
      </c>
      <c r="L35" s="2" t="inlineStr">
        <is>
          <t>Cosmic kingship</t>
        </is>
      </c>
      <c r="M35" s="2" t="inlineStr">
        <is>
          <t>Iraq</t>
        </is>
      </c>
      <c r="N35" s="2" t="inlineStr">
        <is>
          <t>Babylonian tradition</t>
        </is>
      </c>
      <c r="O35" s="2" t="inlineStr">
        <is>
          <t>Babylonian creation epic focused on Marduk, divine combat, and cosmic ordering.</t>
        </is>
      </c>
      <c r="P35" s="2" t="inlineStr">
        <is>
          <t>Foundational for creation-from-chaos and divine rule motifs.</t>
        </is>
      </c>
      <c r="Q35" s="2" t="inlineStr">
        <is>
          <t>High</t>
        </is>
      </c>
      <c r="R35" s="2" t="inlineStr">
        <is>
          <t>High</t>
        </is>
      </c>
      <c r="S35" s="2" t="inlineStr">
        <is>
          <t>Medium</t>
        </is>
      </c>
      <c r="T35" s="2" t="inlineStr">
        <is>
          <t>ORACC</t>
        </is>
      </c>
      <c r="U35" s="8" t="inlineStr">
        <is>
          <t>https://oracc.museum.upenn.edu/</t>
        </is>
      </c>
      <c r="V35" s="2" t="inlineStr">
        <is>
          <t>ETCSL</t>
        </is>
      </c>
      <c r="W35" s="8" t="inlineStr">
        <is>
          <t>https://etcsl.orinst.ox.ac.uk/</t>
        </is>
      </c>
      <c r="X35" s="2" t="inlineStr">
        <is>
          <t>British Museum Collection</t>
        </is>
      </c>
      <c r="Y35" s="8" t="inlineStr">
        <is>
          <t>https://www.britishmuseum.org/collection</t>
        </is>
      </c>
      <c r="Z35" s="2" t="inlineStr">
        <is>
          <t>Penn Museum</t>
        </is>
      </c>
      <c r="AA35" s="8" t="inlineStr">
        <is>
          <t>https://www.penn.museum/</t>
        </is>
      </c>
      <c r="AB35" s="2" t="inlineStr">
        <is>
          <t>Pleiades</t>
        </is>
      </c>
      <c r="AC35" s="8" t="inlineStr">
        <is>
          <t>https://pleiades.stoa.org/</t>
        </is>
      </c>
      <c r="AD35" s="2" t="inlineStr">
        <is>
          <t>Enuma Elish</t>
        </is>
      </c>
      <c r="AE35" s="2" t="inlineStr">
        <is>
          <t>Festival and political context matter as much as myth plot.</t>
        </is>
      </c>
      <c r="AF35" s="2" t="inlineStr">
        <is>
          <t>Chaoskampf; creation; rule</t>
        </is>
      </c>
      <c r="AG35" s="2" t="inlineStr">
        <is>
          <t>Critical</t>
        </is>
      </c>
      <c r="AH35" s="2" t="inlineStr">
        <is>
          <t>High</t>
        </is>
      </c>
      <c r="AI35" s="2" t="inlineStr"/>
      <c r="AJ35" t="inlineStr">
        <is>
          <t>https://oracc.museum.upenn.edu/</t>
        </is>
      </c>
      <c r="AK35" t="inlineStr">
        <is>
          <t>https://etcsl.orinst.ox.ac.uk/</t>
        </is>
      </c>
      <c r="AL35" t="inlineStr">
        <is>
          <t>https://www.britishmuseum.org/collection/search?keyword=Enuma+Elish</t>
        </is>
      </c>
      <c r="AM35" t="inlineStr">
        <is>
          <t>https://www.penn.museum/</t>
        </is>
      </c>
      <c r="AN35" t="inlineStr">
        <is>
          <t>https://pleiades.stoa.org/search?SearchableText=Enuma+Elish</t>
        </is>
      </c>
      <c r="AO35" t="inlineStr">
        <is>
          <t>1) Fact base: ORACC. 2) Translation/text: ETCSL. 3) Images/objects: British Museum Collection. 4) Context/explanation: Penn Museum. 5) Geography/maps: Pleiades. Use Suggested_Search_Term inside each portal.</t>
        </is>
      </c>
      <c r="AP35" t="inlineStr">
        <is>
          <t>Mixed: direct portal homepages plus search-result URLs where the portal exposes a public search endpoint.</t>
        </is>
      </c>
    </row>
    <row r="36">
      <c r="A36" s="2" t="n">
        <v>35</v>
      </c>
      <c r="B36" s="7" t="inlineStr">
        <is>
          <t>BCE_to_1AD</t>
        </is>
      </c>
      <c r="C36" s="2" t="inlineStr">
        <is>
          <t>Mesopotamia</t>
        </is>
      </c>
      <c r="D36" s="2" t="inlineStr">
        <is>
          <t>Mesopotamian traditions</t>
        </is>
      </c>
      <c r="E36" s="2" t="n">
        <v>-2100</v>
      </c>
      <c r="F36" s="2" t="n">
        <v>-1600</v>
      </c>
      <c r="G36" s="2" t="inlineStr">
        <is>
          <t>c. 2100 BCE to 1600 BCE</t>
        </is>
      </c>
      <c r="H36" s="2" t="inlineStr">
        <is>
          <t>Enki and Ninhursag</t>
        </is>
      </c>
      <c r="I36" s="2" t="inlineStr">
        <is>
          <t>Text</t>
        </is>
      </c>
      <c r="J36" s="2" t="inlineStr">
        <is>
          <t>Tablet corpus</t>
        </is>
      </c>
      <c r="K36" s="2" t="inlineStr">
        <is>
          <t>Creation</t>
        </is>
      </c>
      <c r="L36" s="2" t="inlineStr">
        <is>
          <t>Sacred landscape</t>
        </is>
      </c>
      <c r="M36" s="2" t="inlineStr">
        <is>
          <t>Iraq</t>
        </is>
      </c>
      <c r="N36" s="2" t="inlineStr">
        <is>
          <t>Sumerian literary tradition</t>
        </is>
      </c>
      <c r="O36" s="2" t="inlineStr">
        <is>
          <t>Myth of Enki, Dilmun, fertility, and divine relationships.</t>
        </is>
      </c>
      <c r="P36" s="2" t="inlineStr">
        <is>
          <t>Often mined for Eden-like imagery and sacred-land interpretations.</t>
        </is>
      </c>
      <c r="Q36" s="2" t="inlineStr">
        <is>
          <t>High</t>
        </is>
      </c>
      <c r="R36" s="2" t="inlineStr">
        <is>
          <t>High</t>
        </is>
      </c>
      <c r="S36" s="2" t="inlineStr">
        <is>
          <t>Low</t>
        </is>
      </c>
      <c r="T36" s="2" t="inlineStr">
        <is>
          <t>ORACC</t>
        </is>
      </c>
      <c r="U36" s="8" t="inlineStr">
        <is>
          <t>https://oracc.museum.upenn.edu/</t>
        </is>
      </c>
      <c r="V36" s="2" t="inlineStr">
        <is>
          <t>ETCSL</t>
        </is>
      </c>
      <c r="W36" s="8" t="inlineStr">
        <is>
          <t>https://etcsl.orinst.ox.ac.uk/</t>
        </is>
      </c>
      <c r="X36" s="2" t="inlineStr">
        <is>
          <t>British Museum Collection</t>
        </is>
      </c>
      <c r="Y36" s="8" t="inlineStr">
        <is>
          <t>https://www.britishmuseum.org/collection</t>
        </is>
      </c>
      <c r="Z36" s="2" t="inlineStr">
        <is>
          <t>Penn Museum</t>
        </is>
      </c>
      <c r="AA36" s="8" t="inlineStr">
        <is>
          <t>https://www.penn.museum/</t>
        </is>
      </c>
      <c r="AB36" s="2" t="inlineStr">
        <is>
          <t>Pleiades</t>
        </is>
      </c>
      <c r="AC36" s="8" t="inlineStr">
        <is>
          <t>https://pleiades.stoa.org/</t>
        </is>
      </c>
      <c r="AD36" s="2" t="inlineStr">
        <is>
          <t>Enki and Ninhursag</t>
        </is>
      </c>
      <c r="AE36" s="2" t="inlineStr">
        <is>
          <t>Read with Dilmun context and lexical notes.</t>
        </is>
      </c>
      <c r="AF36" s="2" t="inlineStr">
        <is>
          <t>Paradise garden motifs; sacred water</t>
        </is>
      </c>
      <c r="AG36" s="2" t="inlineStr">
        <is>
          <t>High</t>
        </is>
      </c>
      <c r="AH36" s="2" t="inlineStr">
        <is>
          <t>High</t>
        </is>
      </c>
      <c r="AI36" s="2" t="inlineStr"/>
      <c r="AJ36" t="inlineStr">
        <is>
          <t>https://oracc.museum.upenn.edu/</t>
        </is>
      </c>
      <c r="AK36" t="inlineStr">
        <is>
          <t>https://etcsl.orinst.ox.ac.uk/</t>
        </is>
      </c>
      <c r="AL36" t="inlineStr">
        <is>
          <t>https://www.britishmuseum.org/collection/search?keyword=Enki+and+Ninhursag</t>
        </is>
      </c>
      <c r="AM36" t="inlineStr">
        <is>
          <t>https://www.penn.museum/</t>
        </is>
      </c>
      <c r="AN36" t="inlineStr">
        <is>
          <t>https://pleiades.stoa.org/search?SearchableText=Enki+and+Ninhursag</t>
        </is>
      </c>
      <c r="AO36" t="inlineStr">
        <is>
          <t>1) Fact base: ORACC. 2) Translation/text: ETCSL. 3) Images/objects: British Museum Collection. 4) Context/explanation: Penn Museum. 5) Geography/maps: Pleiades. Use Suggested_Search_Term inside each portal.</t>
        </is>
      </c>
      <c r="AP36" t="inlineStr">
        <is>
          <t>Mixed: direct portal homepages plus search-result URLs where the portal exposes a public search endpoint.</t>
        </is>
      </c>
    </row>
    <row r="37">
      <c r="A37" s="2" t="n">
        <v>36</v>
      </c>
      <c r="B37" s="7" t="inlineStr">
        <is>
          <t>BCE_to_1AD</t>
        </is>
      </c>
      <c r="C37" s="2" t="inlineStr">
        <is>
          <t>Mesopotamia</t>
        </is>
      </c>
      <c r="D37" s="2" t="inlineStr">
        <is>
          <t>Mesopotamian traditions</t>
        </is>
      </c>
      <c r="E37" s="2" t="n">
        <v>-2100</v>
      </c>
      <c r="F37" s="2" t="n">
        <v>-1600</v>
      </c>
      <c r="G37" s="2" t="inlineStr">
        <is>
          <t>c. 2100 BCE to 1600 BCE</t>
        </is>
      </c>
      <c r="H37" s="2" t="inlineStr">
        <is>
          <t>Enki and the World Order</t>
        </is>
      </c>
      <c r="I37" s="2" t="inlineStr">
        <is>
          <t>Text</t>
        </is>
      </c>
      <c r="J37" s="2" t="inlineStr">
        <is>
          <t>Tablet corpus</t>
        </is>
      </c>
      <c r="K37" s="2" t="inlineStr">
        <is>
          <t>Order</t>
        </is>
      </c>
      <c r="L37" s="2" t="inlineStr">
        <is>
          <t>Civilization</t>
        </is>
      </c>
      <c r="M37" s="2" t="inlineStr">
        <is>
          <t>Iraq</t>
        </is>
      </c>
      <c r="N37" s="2" t="inlineStr">
        <is>
          <t>Sumerian literary tradition</t>
        </is>
      </c>
      <c r="O37" s="2" t="inlineStr">
        <is>
          <t>Composition in which Enki assigns roles, powers, and domains across the world.</t>
        </is>
      </c>
      <c r="P37" s="2" t="inlineStr">
        <is>
          <t>Very useful for theories about post-catastrophe redistribution of civilization.</t>
        </is>
      </c>
      <c r="Q37" s="2" t="inlineStr">
        <is>
          <t>High</t>
        </is>
      </c>
      <c r="R37" s="2" t="inlineStr">
        <is>
          <t>High</t>
        </is>
      </c>
      <c r="S37" s="2" t="inlineStr">
        <is>
          <t>Low</t>
        </is>
      </c>
      <c r="T37" s="2" t="inlineStr">
        <is>
          <t>ORACC</t>
        </is>
      </c>
      <c r="U37" s="8" t="inlineStr">
        <is>
          <t>https://oracc.museum.upenn.edu/</t>
        </is>
      </c>
      <c r="V37" s="2" t="inlineStr">
        <is>
          <t>ETCSL</t>
        </is>
      </c>
      <c r="W37" s="8" t="inlineStr">
        <is>
          <t>https://etcsl.orinst.ox.ac.uk/</t>
        </is>
      </c>
      <c r="X37" s="2" t="inlineStr">
        <is>
          <t>British Museum Collection</t>
        </is>
      </c>
      <c r="Y37" s="8" t="inlineStr">
        <is>
          <t>https://www.britishmuseum.org/collection</t>
        </is>
      </c>
      <c r="Z37" s="2" t="inlineStr">
        <is>
          <t>Penn Museum</t>
        </is>
      </c>
      <c r="AA37" s="8" t="inlineStr">
        <is>
          <t>https://www.penn.museum/</t>
        </is>
      </c>
      <c r="AB37" s="2" t="inlineStr">
        <is>
          <t>Pleiades</t>
        </is>
      </c>
      <c r="AC37" s="8" t="inlineStr">
        <is>
          <t>https://pleiades.stoa.org/</t>
        </is>
      </c>
      <c r="AD37" s="2" t="inlineStr">
        <is>
          <t>Enki and the world order</t>
        </is>
      </c>
      <c r="AE37" s="2" t="inlineStr">
        <is>
          <t>Administrative ordering in mythic form.</t>
        </is>
      </c>
      <c r="AF37" s="2" t="inlineStr">
        <is>
          <t>Civilizer god; world allotment</t>
        </is>
      </c>
      <c r="AG37" s="2" t="inlineStr">
        <is>
          <t>High</t>
        </is>
      </c>
      <c r="AH37" s="2" t="inlineStr">
        <is>
          <t>High</t>
        </is>
      </c>
      <c r="AI37" s="2" t="inlineStr"/>
      <c r="AJ37" t="inlineStr">
        <is>
          <t>https://oracc.museum.upenn.edu/</t>
        </is>
      </c>
      <c r="AK37" t="inlineStr">
        <is>
          <t>https://etcsl.orinst.ox.ac.uk/</t>
        </is>
      </c>
      <c r="AL37" t="inlineStr">
        <is>
          <t>https://www.britishmuseum.org/collection/search?keyword=Enki+and+the+world+order</t>
        </is>
      </c>
      <c r="AM37" t="inlineStr">
        <is>
          <t>https://www.penn.museum/</t>
        </is>
      </c>
      <c r="AN37" t="inlineStr">
        <is>
          <t>https://pleiades.stoa.org/search?SearchableText=Enki+and+the+world+order</t>
        </is>
      </c>
      <c r="AO37" t="inlineStr">
        <is>
          <t>1) Fact base: ORACC. 2) Translation/text: ETCSL. 3) Images/objects: British Museum Collection. 4) Context/explanation: Penn Museum. 5) Geography/maps: Pleiades. Use Suggested_Search_Term inside each portal.</t>
        </is>
      </c>
      <c r="AP37" t="inlineStr">
        <is>
          <t>Mixed: direct portal homepages plus search-result URLs where the portal exposes a public search endpoint.</t>
        </is>
      </c>
    </row>
    <row r="38">
      <c r="A38" s="2" t="n">
        <v>37</v>
      </c>
      <c r="B38" s="7" t="inlineStr">
        <is>
          <t>BCE_to_1AD</t>
        </is>
      </c>
      <c r="C38" s="2" t="inlineStr">
        <is>
          <t>Mesopotamia</t>
        </is>
      </c>
      <c r="D38" s="2" t="inlineStr">
        <is>
          <t>Mesopotamian traditions</t>
        </is>
      </c>
      <c r="E38" s="2" t="n">
        <v>-2100</v>
      </c>
      <c r="F38" s="2" t="n">
        <v>-1600</v>
      </c>
      <c r="G38" s="2" t="inlineStr">
        <is>
          <t>c. 2100 BCE to 1600 BCE</t>
        </is>
      </c>
      <c r="H38" s="2" t="inlineStr">
        <is>
          <t>Inanna's Descent</t>
        </is>
      </c>
      <c r="I38" s="2" t="inlineStr">
        <is>
          <t>Text</t>
        </is>
      </c>
      <c r="J38" s="2" t="inlineStr">
        <is>
          <t>Tablet corpus</t>
        </is>
      </c>
      <c r="K38" s="2" t="inlineStr">
        <is>
          <t>Afterlife</t>
        </is>
      </c>
      <c r="L38" s="2" t="inlineStr">
        <is>
          <t>Divine cycle</t>
        </is>
      </c>
      <c r="M38" s="2" t="inlineStr">
        <is>
          <t>Iraq</t>
        </is>
      </c>
      <c r="N38" s="2" t="inlineStr">
        <is>
          <t>Sumerian literary tradition</t>
        </is>
      </c>
      <c r="O38" s="2" t="inlineStr">
        <is>
          <t>Narrative of descent into the netherworld and return conditions.</t>
        </is>
      </c>
      <c r="P38" s="2" t="inlineStr">
        <is>
          <t>Important for death-rebirth motifs and underworld cosmology.</t>
        </is>
      </c>
      <c r="Q38" s="2" t="inlineStr">
        <is>
          <t>Medium</t>
        </is>
      </c>
      <c r="R38" s="2" t="inlineStr">
        <is>
          <t>High</t>
        </is>
      </c>
      <c r="S38" s="2" t="inlineStr">
        <is>
          <t>Low</t>
        </is>
      </c>
      <c r="T38" s="2" t="inlineStr">
        <is>
          <t>ORACC</t>
        </is>
      </c>
      <c r="U38" s="8" t="inlineStr">
        <is>
          <t>https://oracc.museum.upenn.edu/</t>
        </is>
      </c>
      <c r="V38" s="2" t="inlineStr">
        <is>
          <t>ETCSL</t>
        </is>
      </c>
      <c r="W38" s="8" t="inlineStr">
        <is>
          <t>https://etcsl.orinst.ox.ac.uk/</t>
        </is>
      </c>
      <c r="X38" s="2" t="inlineStr">
        <is>
          <t>British Museum Collection</t>
        </is>
      </c>
      <c r="Y38" s="8" t="inlineStr">
        <is>
          <t>https://www.britishmuseum.org/collection</t>
        </is>
      </c>
      <c r="Z38" s="2" t="inlineStr">
        <is>
          <t>Penn Museum</t>
        </is>
      </c>
      <c r="AA38" s="8" t="inlineStr">
        <is>
          <t>https://www.penn.museum/</t>
        </is>
      </c>
      <c r="AB38" s="2" t="inlineStr">
        <is>
          <t>Pleiades</t>
        </is>
      </c>
      <c r="AC38" s="8" t="inlineStr">
        <is>
          <t>https://pleiades.stoa.org/</t>
        </is>
      </c>
      <c r="AD38" s="2" t="inlineStr">
        <is>
          <t>Inanna's descent</t>
        </is>
      </c>
      <c r="AE38" s="2" t="inlineStr">
        <is>
          <t>Multiple versions and later parallels.</t>
        </is>
      </c>
      <c r="AF38" s="2" t="inlineStr">
        <is>
          <t>Underworld descent; resurrection motifs</t>
        </is>
      </c>
      <c r="AG38" s="2" t="inlineStr">
        <is>
          <t>High</t>
        </is>
      </c>
      <c r="AH38" s="2" t="inlineStr">
        <is>
          <t>Medium</t>
        </is>
      </c>
      <c r="AI38" s="2" t="inlineStr"/>
      <c r="AJ38" t="inlineStr">
        <is>
          <t>https://oracc.museum.upenn.edu/</t>
        </is>
      </c>
      <c r="AK38" t="inlineStr">
        <is>
          <t>https://etcsl.orinst.ox.ac.uk/</t>
        </is>
      </c>
      <c r="AL38" t="inlineStr">
        <is>
          <t>https://www.britishmuseum.org/collection/search?keyword=Inanna%27s+descent</t>
        </is>
      </c>
      <c r="AM38" t="inlineStr">
        <is>
          <t>https://www.penn.museum/</t>
        </is>
      </c>
      <c r="AN38" t="inlineStr">
        <is>
          <t>https://pleiades.stoa.org/search?SearchableText=Inanna%27s+descent</t>
        </is>
      </c>
      <c r="AO38" t="inlineStr">
        <is>
          <t>1) Fact base: ORACC. 2) Translation/text: ETCSL. 3) Images/objects: British Museum Collection. 4) Context/explanation: Penn Museum. 5) Geography/maps: Pleiades. Use Suggested_Search_Term inside each portal.</t>
        </is>
      </c>
      <c r="AP38" t="inlineStr">
        <is>
          <t>Mixed: direct portal homepages plus search-result URLs where the portal exposes a public search endpoint.</t>
        </is>
      </c>
    </row>
    <row r="39">
      <c r="A39" s="2" t="n">
        <v>38</v>
      </c>
      <c r="B39" s="7" t="inlineStr">
        <is>
          <t>BCE_to_1AD</t>
        </is>
      </c>
      <c r="C39" s="2" t="inlineStr">
        <is>
          <t>Mesopotamia</t>
        </is>
      </c>
      <c r="D39" s="2" t="inlineStr">
        <is>
          <t>Mesopotamian traditions</t>
        </is>
      </c>
      <c r="E39" s="2" t="n">
        <v>-2100</v>
      </c>
      <c r="F39" s="2" t="n">
        <v>-1600</v>
      </c>
      <c r="G39" s="2" t="inlineStr">
        <is>
          <t>c. 2100 BCE to 1600 BCE</t>
        </is>
      </c>
      <c r="H39" s="2" t="inlineStr">
        <is>
          <t>Enmerkar and the Lord of Aratta</t>
        </is>
      </c>
      <c r="I39" s="2" t="inlineStr">
        <is>
          <t>Text</t>
        </is>
      </c>
      <c r="J39" s="2" t="inlineStr">
        <is>
          <t>Tablet corpus</t>
        </is>
      </c>
      <c r="K39" s="2" t="inlineStr">
        <is>
          <t>Kingship</t>
        </is>
      </c>
      <c r="L39" s="2" t="inlineStr">
        <is>
          <t>Distant lands</t>
        </is>
      </c>
      <c r="M39" s="2" t="inlineStr">
        <is>
          <t>Iraq/Iran</t>
        </is>
      </c>
      <c r="N39" s="2" t="inlineStr">
        <is>
          <t>Sumerian literary tradition</t>
        </is>
      </c>
      <c r="O39" s="2" t="inlineStr">
        <is>
          <t>Epic-like tale about Uruk, diplomacy, prestige goods, and distant Aratta.</t>
        </is>
      </c>
      <c r="P39" s="2" t="inlineStr">
        <is>
          <t>Often cited when discussing memory of lost or remote highland civilizations.</t>
        </is>
      </c>
      <c r="Q39" s="2" t="inlineStr">
        <is>
          <t>High</t>
        </is>
      </c>
      <c r="R39" s="2" t="inlineStr">
        <is>
          <t>High</t>
        </is>
      </c>
      <c r="S39" s="2" t="inlineStr">
        <is>
          <t>Low</t>
        </is>
      </c>
      <c r="T39" s="2" t="inlineStr">
        <is>
          <t>ORACC</t>
        </is>
      </c>
      <c r="U39" s="8" t="inlineStr">
        <is>
          <t>https://oracc.museum.upenn.edu/</t>
        </is>
      </c>
      <c r="V39" s="2" t="inlineStr">
        <is>
          <t>ETCSL</t>
        </is>
      </c>
      <c r="W39" s="8" t="inlineStr">
        <is>
          <t>https://etcsl.orinst.ox.ac.uk/</t>
        </is>
      </c>
      <c r="X39" s="2" t="inlineStr">
        <is>
          <t>British Museum Collection</t>
        </is>
      </c>
      <c r="Y39" s="8" t="inlineStr">
        <is>
          <t>https://www.britishmuseum.org/collection</t>
        </is>
      </c>
      <c r="Z39" s="2" t="inlineStr">
        <is>
          <t>Penn Museum</t>
        </is>
      </c>
      <c r="AA39" s="8" t="inlineStr">
        <is>
          <t>https://www.penn.museum/</t>
        </is>
      </c>
      <c r="AB39" s="2" t="inlineStr">
        <is>
          <t>Pleiades</t>
        </is>
      </c>
      <c r="AC39" s="8" t="inlineStr">
        <is>
          <t>https://pleiades.stoa.org/</t>
        </is>
      </c>
      <c r="AD39" s="2" t="inlineStr">
        <is>
          <t>Enmerkar Aratta</t>
        </is>
      </c>
      <c r="AE39" s="2" t="inlineStr">
        <is>
          <t>Aratta remains unidentified; separate text memory from archaeology.</t>
        </is>
      </c>
      <c r="AF39" s="2" t="inlineStr">
        <is>
          <t>Remote lands; sacred materials</t>
        </is>
      </c>
      <c r="AG39" s="2" t="inlineStr">
        <is>
          <t>High</t>
        </is>
      </c>
      <c r="AH39" s="2" t="inlineStr">
        <is>
          <t>High</t>
        </is>
      </c>
      <c r="AI39" s="2" t="inlineStr"/>
      <c r="AJ39" t="inlineStr">
        <is>
          <t>https://oracc.museum.upenn.edu/</t>
        </is>
      </c>
      <c r="AK39" t="inlineStr">
        <is>
          <t>https://etcsl.orinst.ox.ac.uk/</t>
        </is>
      </c>
      <c r="AL39" t="inlineStr">
        <is>
          <t>https://www.britishmuseum.org/collection/search?keyword=Enmerkar+Aratta</t>
        </is>
      </c>
      <c r="AM39" t="inlineStr">
        <is>
          <t>https://www.penn.museum/</t>
        </is>
      </c>
      <c r="AN39" t="inlineStr">
        <is>
          <t>https://pleiades.stoa.org/search?SearchableText=Enmerkar+Aratta</t>
        </is>
      </c>
      <c r="AO39" t="inlineStr">
        <is>
          <t>1) Fact base: ORACC. 2) Translation/text: ETCSL. 3) Images/objects: British Museum Collection. 4) Context/explanation: Penn Museum. 5) Geography/maps: Pleiades. Use Suggested_Search_Term inside each portal.</t>
        </is>
      </c>
      <c r="AP39" t="inlineStr">
        <is>
          <t>Mixed: direct portal homepages plus search-result URLs where the portal exposes a public search endpoint.</t>
        </is>
      </c>
    </row>
    <row r="40">
      <c r="A40" s="2" t="n">
        <v>39</v>
      </c>
      <c r="B40" s="7" t="inlineStr">
        <is>
          <t>BCE_to_1AD</t>
        </is>
      </c>
      <c r="C40" s="2" t="inlineStr">
        <is>
          <t>Mesopotamia</t>
        </is>
      </c>
      <c r="D40" s="2" t="inlineStr">
        <is>
          <t>Mesopotamian traditions</t>
        </is>
      </c>
      <c r="E40" s="2" t="n">
        <v>-2100</v>
      </c>
      <c r="F40" s="2" t="n">
        <v>-1600</v>
      </c>
      <c r="G40" s="2" t="inlineStr">
        <is>
          <t>c. 2100 BCE to 1600 BCE</t>
        </is>
      </c>
      <c r="H40" s="2" t="inlineStr">
        <is>
          <t>Lugalbanda in the Mountain Cave</t>
        </is>
      </c>
      <c r="I40" s="2" t="inlineStr">
        <is>
          <t>Text</t>
        </is>
      </c>
      <c r="J40" s="2" t="inlineStr">
        <is>
          <t>Tablet corpus</t>
        </is>
      </c>
      <c r="K40" s="2" t="inlineStr">
        <is>
          <t>Hero cycle</t>
        </is>
      </c>
      <c r="L40" s="2" t="inlineStr">
        <is>
          <t>Mountains</t>
        </is>
      </c>
      <c r="M40" s="2" t="inlineStr">
        <is>
          <t>Iraq</t>
        </is>
      </c>
      <c r="N40" s="2" t="inlineStr">
        <is>
          <t>Sumerian literary tradition</t>
        </is>
      </c>
      <c r="O40" s="2" t="inlineStr">
        <is>
          <t>Part of the Lugalbanda cycle involving wilderness, mountains, and divine aid.</t>
        </is>
      </c>
      <c r="P40" s="2" t="inlineStr">
        <is>
          <t>Useful for heroic memory and sacred-geography themes.</t>
        </is>
      </c>
      <c r="Q40" s="2" t="inlineStr">
        <is>
          <t>Medium</t>
        </is>
      </c>
      <c r="R40" s="2" t="inlineStr">
        <is>
          <t>High</t>
        </is>
      </c>
      <c r="S40" s="2" t="inlineStr">
        <is>
          <t>Low</t>
        </is>
      </c>
      <c r="T40" s="2" t="inlineStr">
        <is>
          <t>ORACC</t>
        </is>
      </c>
      <c r="U40" s="8" t="inlineStr">
        <is>
          <t>https://oracc.museum.upenn.edu/</t>
        </is>
      </c>
      <c r="V40" s="2" t="inlineStr">
        <is>
          <t>ETCSL</t>
        </is>
      </c>
      <c r="W40" s="8" t="inlineStr">
        <is>
          <t>https://etcsl.orinst.ox.ac.uk/</t>
        </is>
      </c>
      <c r="X40" s="2" t="inlineStr">
        <is>
          <t>British Museum Collection</t>
        </is>
      </c>
      <c r="Y40" s="8" t="inlineStr">
        <is>
          <t>https://www.britishmuseum.org/collection</t>
        </is>
      </c>
      <c r="Z40" s="2" t="inlineStr">
        <is>
          <t>Penn Museum</t>
        </is>
      </c>
      <c r="AA40" s="8" t="inlineStr">
        <is>
          <t>https://www.penn.museum/</t>
        </is>
      </c>
      <c r="AB40" s="2" t="inlineStr">
        <is>
          <t>Pleiades</t>
        </is>
      </c>
      <c r="AC40" s="8" t="inlineStr">
        <is>
          <t>https://pleiades.stoa.org/</t>
        </is>
      </c>
      <c r="AD40" s="2" t="inlineStr">
        <is>
          <t>Lugalbanda mountain cave</t>
        </is>
      </c>
      <c r="AE40" s="2" t="inlineStr">
        <is>
          <t>Pairs well with Enmerkar traditions.</t>
        </is>
      </c>
      <c r="AF40" s="2" t="inlineStr">
        <is>
          <t>Hero journeys; mountain passages</t>
        </is>
      </c>
      <c r="AG40" s="2" t="inlineStr">
        <is>
          <t>Medium</t>
        </is>
      </c>
      <c r="AH40" s="2" t="inlineStr">
        <is>
          <t>Medium</t>
        </is>
      </c>
      <c r="AI40" s="2" t="inlineStr"/>
      <c r="AJ40" t="inlineStr">
        <is>
          <t>https://oracc.museum.upenn.edu/</t>
        </is>
      </c>
      <c r="AK40" t="inlineStr">
        <is>
          <t>https://etcsl.orinst.ox.ac.uk/</t>
        </is>
      </c>
      <c r="AL40" t="inlineStr">
        <is>
          <t>https://www.britishmuseum.org/collection/search?keyword=Lugalbanda+mountain+cave</t>
        </is>
      </c>
      <c r="AM40" t="inlineStr">
        <is>
          <t>https://www.penn.museum/</t>
        </is>
      </c>
      <c r="AN40" t="inlineStr">
        <is>
          <t>https://pleiades.stoa.org/search?SearchableText=Lugalbanda+mountain+cave</t>
        </is>
      </c>
      <c r="AO40" t="inlineStr">
        <is>
          <t>1) Fact base: ORACC. 2) Translation/text: ETCSL. 3) Images/objects: British Museum Collection. 4) Context/explanation: Penn Museum. 5) Geography/maps: Pleiades. Use Suggested_Search_Term inside each portal.</t>
        </is>
      </c>
      <c r="AP40" t="inlineStr">
        <is>
          <t>Mixed: direct portal homepages plus search-result URLs where the portal exposes a public search endpoint.</t>
        </is>
      </c>
    </row>
    <row r="41">
      <c r="A41" s="2" t="n">
        <v>40</v>
      </c>
      <c r="B41" s="7" t="inlineStr">
        <is>
          <t>BCE_to_1AD</t>
        </is>
      </c>
      <c r="C41" s="2" t="inlineStr">
        <is>
          <t>Mesopotamia</t>
        </is>
      </c>
      <c r="D41" s="2" t="inlineStr">
        <is>
          <t>Mesopotamian traditions</t>
        </is>
      </c>
      <c r="E41" s="2" t="n">
        <v>-1400</v>
      </c>
      <c r="F41" s="2" t="n">
        <v>-1000</v>
      </c>
      <c r="G41" s="2" t="inlineStr">
        <is>
          <t>c. 1400 BCE to 1000 BCE</t>
        </is>
      </c>
      <c r="H41" s="2" t="inlineStr">
        <is>
          <t>Adapa Myth</t>
        </is>
      </c>
      <c r="I41" s="2" t="inlineStr">
        <is>
          <t>Text</t>
        </is>
      </c>
      <c r="J41" s="2" t="inlineStr">
        <is>
          <t>Tablet corpus</t>
        </is>
      </c>
      <c r="K41" s="2" t="inlineStr">
        <is>
          <t>Wisdom</t>
        </is>
      </c>
      <c r="L41" s="2" t="inlineStr">
        <is>
          <t>Human-divine boundary</t>
        </is>
      </c>
      <c r="M41" s="2" t="inlineStr">
        <is>
          <t>Iraq</t>
        </is>
      </c>
      <c r="N41" s="2" t="inlineStr">
        <is>
          <t>Akkadian tradition</t>
        </is>
      </c>
      <c r="O41" s="2" t="inlineStr">
        <is>
          <t>Narrative of Adapa, wisdom, and missed immortality.</t>
        </is>
      </c>
      <c r="P41" s="2" t="inlineStr">
        <is>
          <t>Frequently compared with Eden and anti-immortality motifs.</t>
        </is>
      </c>
      <c r="Q41" s="2" t="inlineStr">
        <is>
          <t>High</t>
        </is>
      </c>
      <c r="R41" s="2" t="inlineStr">
        <is>
          <t>High</t>
        </is>
      </c>
      <c r="S41" s="2" t="inlineStr">
        <is>
          <t>Low</t>
        </is>
      </c>
      <c r="T41" s="2" t="inlineStr">
        <is>
          <t>ORACC</t>
        </is>
      </c>
      <c r="U41" s="8" t="inlineStr">
        <is>
          <t>https://oracc.museum.upenn.edu/</t>
        </is>
      </c>
      <c r="V41" s="2" t="inlineStr">
        <is>
          <t>ETCSL</t>
        </is>
      </c>
      <c r="W41" s="8" t="inlineStr">
        <is>
          <t>https://etcsl.orinst.ox.ac.uk/</t>
        </is>
      </c>
      <c r="X41" s="2" t="inlineStr">
        <is>
          <t>British Museum Collection</t>
        </is>
      </c>
      <c r="Y41" s="8" t="inlineStr">
        <is>
          <t>https://www.britishmuseum.org/collection</t>
        </is>
      </c>
      <c r="Z41" s="2" t="inlineStr">
        <is>
          <t>Penn Museum</t>
        </is>
      </c>
      <c r="AA41" s="8" t="inlineStr">
        <is>
          <t>https://www.penn.museum/</t>
        </is>
      </c>
      <c r="AB41" s="2" t="inlineStr">
        <is>
          <t>Pleiades</t>
        </is>
      </c>
      <c r="AC41" s="8" t="inlineStr">
        <is>
          <t>https://pleiades.stoa.org/</t>
        </is>
      </c>
      <c r="AD41" s="2" t="inlineStr">
        <is>
          <t>Adapa ORACC</t>
        </is>
      </c>
      <c r="AE41" s="2" t="inlineStr">
        <is>
          <t>Often short but conceptually rich.</t>
        </is>
      </c>
      <c r="AF41" s="2" t="inlineStr">
        <is>
          <t>Wisdom; lost immortality</t>
        </is>
      </c>
      <c r="AG41" s="2" t="inlineStr">
        <is>
          <t>High</t>
        </is>
      </c>
      <c r="AH41" s="2" t="inlineStr">
        <is>
          <t>Medium</t>
        </is>
      </c>
      <c r="AI41" s="2" t="inlineStr"/>
      <c r="AJ41" t="inlineStr">
        <is>
          <t>https://oracc.museum.upenn.edu/</t>
        </is>
      </c>
      <c r="AK41" t="inlineStr">
        <is>
          <t>https://etcsl.orinst.ox.ac.uk/</t>
        </is>
      </c>
      <c r="AL41" t="inlineStr">
        <is>
          <t>https://www.britishmuseum.org/collection/search?keyword=Adapa+ORACC</t>
        </is>
      </c>
      <c r="AM41" t="inlineStr">
        <is>
          <t>https://www.penn.museum/</t>
        </is>
      </c>
      <c r="AN41" t="inlineStr">
        <is>
          <t>https://pleiades.stoa.org/search?SearchableText=Adapa+ORACC</t>
        </is>
      </c>
      <c r="AO41" t="inlineStr">
        <is>
          <t>1) Fact base: ORACC. 2) Translation/text: ETCSL. 3) Images/objects: British Museum Collection. 4) Context/explanation: Penn Museum. 5) Geography/maps: Pleiades. Use Suggested_Search_Term inside each portal.</t>
        </is>
      </c>
      <c r="AP41" t="inlineStr">
        <is>
          <t>Mixed: direct portal homepages plus search-result URLs where the portal exposes a public search endpoint.</t>
        </is>
      </c>
    </row>
    <row r="42">
      <c r="A42" s="2" t="n">
        <v>41</v>
      </c>
      <c r="B42" s="7" t="inlineStr">
        <is>
          <t>BCE_to_1AD</t>
        </is>
      </c>
      <c r="C42" s="2" t="inlineStr">
        <is>
          <t>Mesopotamia</t>
        </is>
      </c>
      <c r="D42" s="2" t="inlineStr">
        <is>
          <t>Mesopotamian traditions</t>
        </is>
      </c>
      <c r="E42" s="2" t="n">
        <v>-1400</v>
      </c>
      <c r="F42" s="2" t="n">
        <v>-700</v>
      </c>
      <c r="G42" s="2" t="inlineStr">
        <is>
          <t>c. 1400 BCE to 700 BCE</t>
        </is>
      </c>
      <c r="H42" s="2" t="inlineStr">
        <is>
          <t>Anzu Myth</t>
        </is>
      </c>
      <c r="I42" s="2" t="inlineStr">
        <is>
          <t>Text</t>
        </is>
      </c>
      <c r="J42" s="2" t="inlineStr">
        <is>
          <t>Tablet corpus</t>
        </is>
      </c>
      <c r="K42" s="2" t="inlineStr">
        <is>
          <t>Divine combat</t>
        </is>
      </c>
      <c r="L42" s="2" t="inlineStr">
        <is>
          <t>Order</t>
        </is>
      </c>
      <c r="M42" s="2" t="inlineStr">
        <is>
          <t>Iraq</t>
        </is>
      </c>
      <c r="N42" s="2" t="inlineStr">
        <is>
          <t>Akkadian tradition</t>
        </is>
      </c>
      <c r="O42" s="2" t="inlineStr">
        <is>
          <t>Myth involving stolen divine authority and its recovery.</t>
        </is>
      </c>
      <c r="P42" s="2" t="inlineStr">
        <is>
          <t>Good for cosmic-order and power-transfer motifs.</t>
        </is>
      </c>
      <c r="Q42" s="2" t="inlineStr">
        <is>
          <t>Medium</t>
        </is>
      </c>
      <c r="R42" s="2" t="inlineStr">
        <is>
          <t>High</t>
        </is>
      </c>
      <c r="S42" s="2" t="inlineStr">
        <is>
          <t>Low</t>
        </is>
      </c>
      <c r="T42" s="2" t="inlineStr">
        <is>
          <t>ORACC</t>
        </is>
      </c>
      <c r="U42" s="8" t="inlineStr">
        <is>
          <t>https://oracc.museum.upenn.edu/</t>
        </is>
      </c>
      <c r="V42" s="2" t="inlineStr">
        <is>
          <t>ETCSL</t>
        </is>
      </c>
      <c r="W42" s="8" t="inlineStr">
        <is>
          <t>https://etcsl.orinst.ox.ac.uk/</t>
        </is>
      </c>
      <c r="X42" s="2" t="inlineStr">
        <is>
          <t>British Museum Collection</t>
        </is>
      </c>
      <c r="Y42" s="8" t="inlineStr">
        <is>
          <t>https://www.britishmuseum.org/collection</t>
        </is>
      </c>
      <c r="Z42" s="2" t="inlineStr">
        <is>
          <t>Penn Museum</t>
        </is>
      </c>
      <c r="AA42" s="8" t="inlineStr">
        <is>
          <t>https://www.penn.museum/</t>
        </is>
      </c>
      <c r="AB42" s="2" t="inlineStr">
        <is>
          <t>Pleiades</t>
        </is>
      </c>
      <c r="AC42" s="8" t="inlineStr">
        <is>
          <t>https://pleiades.stoa.org/</t>
        </is>
      </c>
      <c r="AD42" s="2" t="inlineStr">
        <is>
          <t>Anzu myth</t>
        </is>
      </c>
      <c r="AE42" s="2" t="inlineStr">
        <is>
          <t>Works well in comparative chaoskampf studies.</t>
        </is>
      </c>
      <c r="AF42" s="2" t="inlineStr">
        <is>
          <t>Kingship; cosmic authority</t>
        </is>
      </c>
      <c r="AG42" s="2" t="inlineStr">
        <is>
          <t>Medium</t>
        </is>
      </c>
      <c r="AH42" s="2" t="inlineStr">
        <is>
          <t>Medium</t>
        </is>
      </c>
      <c r="AI42" s="2" t="inlineStr"/>
      <c r="AJ42" t="inlineStr">
        <is>
          <t>https://oracc.museum.upenn.edu/</t>
        </is>
      </c>
      <c r="AK42" t="inlineStr">
        <is>
          <t>https://etcsl.orinst.ox.ac.uk/</t>
        </is>
      </c>
      <c r="AL42" t="inlineStr">
        <is>
          <t>https://www.britishmuseum.org/collection/search?keyword=Anzu+myth</t>
        </is>
      </c>
      <c r="AM42" t="inlineStr">
        <is>
          <t>https://www.penn.museum/</t>
        </is>
      </c>
      <c r="AN42" t="inlineStr">
        <is>
          <t>https://pleiades.stoa.org/search?SearchableText=Anzu+myth</t>
        </is>
      </c>
      <c r="AO42" t="inlineStr">
        <is>
          <t>1) Fact base: ORACC. 2) Translation/text: ETCSL. 3) Images/objects: British Museum Collection. 4) Context/explanation: Penn Museum. 5) Geography/maps: Pleiades. Use Suggested_Search_Term inside each portal.</t>
        </is>
      </c>
      <c r="AP42" t="inlineStr">
        <is>
          <t>Mixed: direct portal homepages plus search-result URLs where the portal exposes a public search endpoint.</t>
        </is>
      </c>
    </row>
    <row r="43">
      <c r="A43" s="2" t="n">
        <v>42</v>
      </c>
      <c r="B43" s="7" t="inlineStr">
        <is>
          <t>BCE_to_1AD</t>
        </is>
      </c>
      <c r="C43" s="2" t="inlineStr">
        <is>
          <t>Mesopotamia</t>
        </is>
      </c>
      <c r="D43" s="2" t="inlineStr">
        <is>
          <t>Mesopotamian traditions</t>
        </is>
      </c>
      <c r="E43" s="2" t="n">
        <v>-1200</v>
      </c>
      <c r="F43" s="2" t="n">
        <v>-600</v>
      </c>
      <c r="G43" s="2" t="inlineStr">
        <is>
          <t>c. 1200 BCE to 600 BCE</t>
        </is>
      </c>
      <c r="H43" s="2" t="inlineStr">
        <is>
          <t>Enuma Anu Enlil</t>
        </is>
      </c>
      <c r="I43" s="2" t="inlineStr">
        <is>
          <t>Text</t>
        </is>
      </c>
      <c r="J43" s="2" t="inlineStr">
        <is>
          <t>Tablet corpus</t>
        </is>
      </c>
      <c r="K43" s="2" t="inlineStr">
        <is>
          <t>Astronomy</t>
        </is>
      </c>
      <c r="L43" s="2" t="inlineStr">
        <is>
          <t>Omens</t>
        </is>
      </c>
      <c r="M43" s="2" t="inlineStr">
        <is>
          <t>Iraq</t>
        </is>
      </c>
      <c r="N43" s="2" t="inlineStr">
        <is>
          <t>Assyro-Babylonian scholarly tradition</t>
        </is>
      </c>
      <c r="O43" s="2" t="inlineStr">
        <is>
          <t>Large omen series linking celestial observations to terrestrial outcomes.</t>
        </is>
      </c>
      <c r="P43" s="2" t="inlineStr">
        <is>
          <t>Core evidence for sophisticated Mesopotamian sky watching.</t>
        </is>
      </c>
      <c r="Q43" s="2" t="inlineStr">
        <is>
          <t>High</t>
        </is>
      </c>
      <c r="R43" s="2" t="inlineStr">
        <is>
          <t>Partial</t>
        </is>
      </c>
      <c r="S43" s="2" t="inlineStr">
        <is>
          <t>Low</t>
        </is>
      </c>
      <c r="T43" s="2" t="inlineStr">
        <is>
          <t>ORACC</t>
        </is>
      </c>
      <c r="U43" s="8" t="inlineStr">
        <is>
          <t>https://oracc.museum.upenn.edu/</t>
        </is>
      </c>
      <c r="V43" s="2" t="inlineStr">
        <is>
          <t>ETCSL</t>
        </is>
      </c>
      <c r="W43" s="8" t="inlineStr">
        <is>
          <t>https://etcsl.orinst.ox.ac.uk/</t>
        </is>
      </c>
      <c r="X43" s="2" t="inlineStr">
        <is>
          <t>British Museum Collection</t>
        </is>
      </c>
      <c r="Y43" s="8" t="inlineStr">
        <is>
          <t>https://www.britishmuseum.org/collection</t>
        </is>
      </c>
      <c r="Z43" s="2" t="inlineStr">
        <is>
          <t>Penn Museum</t>
        </is>
      </c>
      <c r="AA43" s="8" t="inlineStr">
        <is>
          <t>https://www.penn.museum/</t>
        </is>
      </c>
      <c r="AB43" s="2" t="inlineStr">
        <is>
          <t>Pleiades</t>
        </is>
      </c>
      <c r="AC43" s="8" t="inlineStr">
        <is>
          <t>https://pleiades.stoa.org/</t>
        </is>
      </c>
      <c r="AD43" s="2" t="inlineStr">
        <is>
          <t>Enuma Anu Enlil ORACC</t>
        </is>
      </c>
      <c r="AE43" s="2" t="inlineStr">
        <is>
          <t>A scholarly corpus, not a narrative myth, but vital for world-model reconstruction.</t>
        </is>
      </c>
      <c r="AF43" s="2" t="inlineStr">
        <is>
          <t>Astronomy; omen systems</t>
        </is>
      </c>
      <c r="AG43" s="2" t="inlineStr">
        <is>
          <t>High</t>
        </is>
      </c>
      <c r="AH43" s="2" t="inlineStr">
        <is>
          <t>High</t>
        </is>
      </c>
      <c r="AI43" s="2" t="inlineStr"/>
      <c r="AJ43" t="inlineStr">
        <is>
          <t>https://oracc.museum.upenn.edu/</t>
        </is>
      </c>
      <c r="AK43" t="inlineStr">
        <is>
          <t>https://etcsl.orinst.ox.ac.uk/</t>
        </is>
      </c>
      <c r="AL43" t="inlineStr">
        <is>
          <t>https://www.britishmuseum.org/collection/search?keyword=Enuma+Anu+Enlil+ORACC</t>
        </is>
      </c>
      <c r="AM43" t="inlineStr">
        <is>
          <t>https://www.penn.museum/</t>
        </is>
      </c>
      <c r="AN43" t="inlineStr">
        <is>
          <t>https://pleiades.stoa.org/search?SearchableText=Enuma+Anu+Enlil+ORACC</t>
        </is>
      </c>
      <c r="AO43" t="inlineStr">
        <is>
          <t>1) Fact base: ORACC. 2) Translation/text: ETCSL. 3) Images/objects: British Museum Collection. 4) Context/explanation: Penn Museum. 5) Geography/maps: Pleiades. Use Suggested_Search_Term inside each portal.</t>
        </is>
      </c>
      <c r="AP43" t="inlineStr">
        <is>
          <t>Mixed: direct portal homepages plus search-result URLs where the portal exposes a public search endpoint.</t>
        </is>
      </c>
    </row>
    <row r="44">
      <c r="A44" s="2" t="n">
        <v>43</v>
      </c>
      <c r="B44" s="7" t="inlineStr">
        <is>
          <t>BCE_to_1AD</t>
        </is>
      </c>
      <c r="C44" s="2" t="inlineStr">
        <is>
          <t>Mesopotamia</t>
        </is>
      </c>
      <c r="D44" s="2" t="inlineStr">
        <is>
          <t>Mesopotamian traditions</t>
        </is>
      </c>
      <c r="E44" s="2" t="n">
        <v>-1000</v>
      </c>
      <c r="F44" s="2" t="n">
        <v>-700</v>
      </c>
      <c r="G44" s="2" t="inlineStr">
        <is>
          <t>c. 1000 BCE to 700 BCE</t>
        </is>
      </c>
      <c r="H44" s="2" t="inlineStr">
        <is>
          <t>MUL.APIN</t>
        </is>
      </c>
      <c r="I44" s="2" t="inlineStr">
        <is>
          <t>Text</t>
        </is>
      </c>
      <c r="J44" s="2" t="inlineStr">
        <is>
          <t>Tablet corpus</t>
        </is>
      </c>
      <c r="K44" s="2" t="inlineStr">
        <is>
          <t>Astronomy</t>
        </is>
      </c>
      <c r="L44" s="2" t="inlineStr">
        <is>
          <t>Calendrics</t>
        </is>
      </c>
      <c r="M44" s="2" t="inlineStr">
        <is>
          <t>Iraq</t>
        </is>
      </c>
      <c r="N44" s="2" t="inlineStr">
        <is>
          <t>Babylonian scholarly tradition</t>
        </is>
      </c>
      <c r="O44" s="2" t="inlineStr">
        <is>
          <t>Astronomical compendium covering stars, risings, and calendrical structure.</t>
        </is>
      </c>
      <c r="P44" s="2" t="inlineStr">
        <is>
          <t>Frequent anchor for archaeoastronomy discussions.</t>
        </is>
      </c>
      <c r="Q44" s="2" t="inlineStr">
        <is>
          <t>High</t>
        </is>
      </c>
      <c r="R44" s="2" t="inlineStr">
        <is>
          <t>High</t>
        </is>
      </c>
      <c r="S44" s="2" t="inlineStr">
        <is>
          <t>Low</t>
        </is>
      </c>
      <c r="T44" s="2" t="inlineStr">
        <is>
          <t>ORACC</t>
        </is>
      </c>
      <c r="U44" s="8" t="inlineStr">
        <is>
          <t>https://oracc.museum.upenn.edu/</t>
        </is>
      </c>
      <c r="V44" s="2" t="inlineStr">
        <is>
          <t>ETCSL</t>
        </is>
      </c>
      <c r="W44" s="8" t="inlineStr">
        <is>
          <t>https://etcsl.orinst.ox.ac.uk/</t>
        </is>
      </c>
      <c r="X44" s="2" t="inlineStr">
        <is>
          <t>British Museum Collection</t>
        </is>
      </c>
      <c r="Y44" s="8" t="inlineStr">
        <is>
          <t>https://www.britishmuseum.org/collection</t>
        </is>
      </c>
      <c r="Z44" s="2" t="inlineStr">
        <is>
          <t>Penn Museum</t>
        </is>
      </c>
      <c r="AA44" s="8" t="inlineStr">
        <is>
          <t>https://www.penn.museum/</t>
        </is>
      </c>
      <c r="AB44" s="2" t="inlineStr">
        <is>
          <t>Pleiades</t>
        </is>
      </c>
      <c r="AC44" s="8" t="inlineStr">
        <is>
          <t>https://pleiades.stoa.org/</t>
        </is>
      </c>
      <c r="AD44" s="2" t="inlineStr">
        <is>
          <t>MUL.APIN</t>
        </is>
      </c>
      <c r="AE44" s="2" t="inlineStr">
        <is>
          <t>Use tablets and translation side by side.</t>
        </is>
      </c>
      <c r="AF44" s="2" t="inlineStr">
        <is>
          <t>Sky lore; calendrics</t>
        </is>
      </c>
      <c r="AG44" s="2" t="inlineStr">
        <is>
          <t>Critical</t>
        </is>
      </c>
      <c r="AH44" s="2" t="inlineStr">
        <is>
          <t>High</t>
        </is>
      </c>
      <c r="AI44" s="2" t="inlineStr"/>
      <c r="AJ44" t="inlineStr">
        <is>
          <t>https://oracc.museum.upenn.edu/</t>
        </is>
      </c>
      <c r="AK44" t="inlineStr">
        <is>
          <t>https://etcsl.orinst.ox.ac.uk/</t>
        </is>
      </c>
      <c r="AL44" t="inlineStr">
        <is>
          <t>https://www.britishmuseum.org/collection/search?keyword=MUL.APIN</t>
        </is>
      </c>
      <c r="AM44" t="inlineStr">
        <is>
          <t>https://www.penn.museum/</t>
        </is>
      </c>
      <c r="AN44" t="inlineStr">
        <is>
          <t>https://pleiades.stoa.org/search?SearchableText=MUL.APIN</t>
        </is>
      </c>
      <c r="AO44" t="inlineStr">
        <is>
          <t>1) Fact base: ORACC. 2) Translation/text: ETCSL. 3) Images/objects: British Museum Collection. 4) Context/explanation: Penn Museum. 5) Geography/maps: Pleiades. Use Suggested_Search_Term inside each portal.</t>
        </is>
      </c>
      <c r="AP44" t="inlineStr">
        <is>
          <t>Mixed: direct portal homepages plus search-result URLs where the portal exposes a public search endpoint.</t>
        </is>
      </c>
    </row>
    <row r="45">
      <c r="A45" s="2" t="n">
        <v>44</v>
      </c>
      <c r="B45" s="7" t="inlineStr">
        <is>
          <t>BCE_to_1AD</t>
        </is>
      </c>
      <c r="C45" s="2" t="inlineStr">
        <is>
          <t>Mesopotamia</t>
        </is>
      </c>
      <c r="D45" s="2" t="inlineStr">
        <is>
          <t>Mesopotamian traditions</t>
        </is>
      </c>
      <c r="E45" s="2" t="n">
        <v>-1750</v>
      </c>
      <c r="F45" s="2" t="n">
        <v>-1750</v>
      </c>
      <c r="G45" s="2" t="inlineStr">
        <is>
          <t>c. 1750 BCE</t>
        </is>
      </c>
      <c r="H45" s="2" t="inlineStr">
        <is>
          <t>Code of Hammurabi</t>
        </is>
      </c>
      <c r="I45" s="2" t="inlineStr">
        <is>
          <t>Text</t>
        </is>
      </c>
      <c r="J45" s="2" t="inlineStr">
        <is>
          <t>Stela + copies</t>
        </is>
      </c>
      <c r="K45" s="2" t="inlineStr">
        <is>
          <t>Law</t>
        </is>
      </c>
      <c r="L45" s="2" t="inlineStr">
        <is>
          <t>Kingship</t>
        </is>
      </c>
      <c r="M45" s="2" t="inlineStr">
        <is>
          <t>Iraq</t>
        </is>
      </c>
      <c r="N45" s="2" t="inlineStr">
        <is>
          <t>Old Babylonian kingdom</t>
        </is>
      </c>
      <c r="O45" s="2" t="inlineStr">
        <is>
          <t>Royal law collection preserved on a monumental stele and tablets.</t>
        </is>
      </c>
      <c r="P45" s="2" t="inlineStr">
        <is>
          <t>Essential for how rulers framed divine order in written form.</t>
        </is>
      </c>
      <c r="Q45" s="2" t="inlineStr">
        <is>
          <t>Medium</t>
        </is>
      </c>
      <c r="R45" s="2" t="inlineStr">
        <is>
          <t>High</t>
        </is>
      </c>
      <c r="S45" s="2" t="inlineStr">
        <is>
          <t>High</t>
        </is>
      </c>
      <c r="T45" s="2" t="inlineStr">
        <is>
          <t>ORACC</t>
        </is>
      </c>
      <c r="U45" s="8" t="inlineStr">
        <is>
          <t>https://oracc.museum.upenn.edu/</t>
        </is>
      </c>
      <c r="V45" s="2" t="inlineStr">
        <is>
          <t>ETCSL</t>
        </is>
      </c>
      <c r="W45" s="8" t="inlineStr">
        <is>
          <t>https://etcsl.orinst.ox.ac.uk/</t>
        </is>
      </c>
      <c r="X45" s="2" t="inlineStr">
        <is>
          <t>British Museum Collection</t>
        </is>
      </c>
      <c r="Y45" s="8" t="inlineStr">
        <is>
          <t>https://www.britishmuseum.org/collection</t>
        </is>
      </c>
      <c r="Z45" s="2" t="inlineStr">
        <is>
          <t>Penn Museum</t>
        </is>
      </c>
      <c r="AA45" s="8" t="inlineStr">
        <is>
          <t>https://www.penn.museum/</t>
        </is>
      </c>
      <c r="AB45" s="2" t="inlineStr">
        <is>
          <t>Pleiades</t>
        </is>
      </c>
      <c r="AC45" s="8" t="inlineStr">
        <is>
          <t>https://pleiades.stoa.org/</t>
        </is>
      </c>
      <c r="AD45" s="2" t="inlineStr">
        <is>
          <t>Code of Hammurabi</t>
        </is>
      </c>
      <c r="AE45" s="2" t="inlineStr">
        <is>
          <t>Law collection is ideological as well as practical.</t>
        </is>
      </c>
      <c r="AF45" s="2" t="inlineStr">
        <is>
          <t>Order; king as judge</t>
        </is>
      </c>
      <c r="AG45" s="2" t="inlineStr">
        <is>
          <t>High</t>
        </is>
      </c>
      <c r="AH45" s="2" t="inlineStr">
        <is>
          <t>Medium</t>
        </is>
      </c>
      <c r="AI45" s="2" t="inlineStr"/>
      <c r="AJ45" t="inlineStr">
        <is>
          <t>https://oracc.museum.upenn.edu/</t>
        </is>
      </c>
      <c r="AK45" t="inlineStr">
        <is>
          <t>https://etcsl.orinst.ox.ac.uk/</t>
        </is>
      </c>
      <c r="AL45" t="inlineStr">
        <is>
          <t>https://www.britishmuseum.org/collection/search?keyword=Code+of+Hammurabi</t>
        </is>
      </c>
      <c r="AM45" t="inlineStr">
        <is>
          <t>https://www.penn.museum/</t>
        </is>
      </c>
      <c r="AN45" t="inlineStr">
        <is>
          <t>https://pleiades.stoa.org/search?SearchableText=Code+of+Hammurabi</t>
        </is>
      </c>
      <c r="AO45" t="inlineStr">
        <is>
          <t>1) Fact base: ORACC. 2) Translation/text: ETCSL. 3) Images/objects: British Museum Collection. 4) Context/explanation: Penn Museum. 5) Geography/maps: Pleiades. Use Suggested_Search_Term inside each portal.</t>
        </is>
      </c>
      <c r="AP45" t="inlineStr">
        <is>
          <t>Mixed: direct portal homepages plus search-result URLs where the portal exposes a public search endpoint.</t>
        </is>
      </c>
    </row>
    <row r="46">
      <c r="A46" s="2" t="n">
        <v>45</v>
      </c>
      <c r="B46" s="7" t="inlineStr">
        <is>
          <t>BCE_to_1AD</t>
        </is>
      </c>
      <c r="C46" s="2" t="inlineStr">
        <is>
          <t>Mesopotamia</t>
        </is>
      </c>
      <c r="D46" s="2" t="inlineStr">
        <is>
          <t>Mesopotamian traditions</t>
        </is>
      </c>
      <c r="E46" s="2" t="n">
        <v>-2500</v>
      </c>
      <c r="F46" s="2" t="n">
        <v>-500</v>
      </c>
      <c r="G46" s="2" t="inlineStr">
        <is>
          <t>c. 2500 BCE to 500 BCE</t>
        </is>
      </c>
      <c r="H46" s="2" t="inlineStr">
        <is>
          <t>Cylinder Seals Corpus</t>
        </is>
      </c>
      <c r="I46" s="2" t="inlineStr">
        <is>
          <t>Artifact corpus</t>
        </is>
      </c>
      <c r="J46" s="2" t="inlineStr">
        <is>
          <t>Object images</t>
        </is>
      </c>
      <c r="K46" s="2" t="inlineStr">
        <is>
          <t>Iconography</t>
        </is>
      </c>
      <c r="L46" s="2" t="inlineStr">
        <is>
          <t>Administration</t>
        </is>
      </c>
      <c r="M46" s="2" t="inlineStr">
        <is>
          <t>Iraq/Syria</t>
        </is>
      </c>
      <c r="N46" s="2" t="inlineStr">
        <is>
          <t>Mesopotamia</t>
        </is>
      </c>
      <c r="O46" s="2" t="inlineStr">
        <is>
          <t>Small carved seals used for administration and bearing mythic scenes and inscriptions.</t>
        </is>
      </c>
      <c r="P46" s="2" t="inlineStr">
        <is>
          <t>One of the best visual corpora for divine imagery and symbolic motifs.</t>
        </is>
      </c>
      <c r="Q46" s="2" t="inlineStr">
        <is>
          <t>High</t>
        </is>
      </c>
      <c r="R46" s="2" t="inlineStr">
        <is>
          <t>Partial</t>
        </is>
      </c>
      <c r="S46" s="2" t="inlineStr">
        <is>
          <t>High</t>
        </is>
      </c>
      <c r="T46" s="2" t="inlineStr">
        <is>
          <t>ORACC</t>
        </is>
      </c>
      <c r="U46" s="8" t="inlineStr">
        <is>
          <t>https://oracc.museum.upenn.edu/</t>
        </is>
      </c>
      <c r="V46" s="2" t="inlineStr">
        <is>
          <t>ORACC</t>
        </is>
      </c>
      <c r="W46" s="8" t="inlineStr">
        <is>
          <t>https://oracc.museum.upenn.edu/</t>
        </is>
      </c>
      <c r="X46" s="2" t="inlineStr">
        <is>
          <t>British Museum Collection</t>
        </is>
      </c>
      <c r="Y46" s="8" t="inlineStr">
        <is>
          <t>https://www.britishmuseum.org/collection</t>
        </is>
      </c>
      <c r="Z46" s="2" t="inlineStr">
        <is>
          <t>Penn Museum</t>
        </is>
      </c>
      <c r="AA46" s="8" t="inlineStr">
        <is>
          <t>https://www.penn.museum/</t>
        </is>
      </c>
      <c r="AB46" s="2" t="inlineStr">
        <is>
          <t>Pleiades</t>
        </is>
      </c>
      <c r="AC46" s="8" t="inlineStr">
        <is>
          <t>https://pleiades.stoa.org/</t>
        </is>
      </c>
      <c r="AD46" s="2" t="inlineStr">
        <is>
          <t>Mesopotamian cylinder seals</t>
        </is>
      </c>
      <c r="AE46" s="2" t="inlineStr">
        <is>
          <t>Always keep archaeological provenance when possible.</t>
        </is>
      </c>
      <c r="AF46" s="2" t="inlineStr">
        <is>
          <t>Iconography; divine symbols</t>
        </is>
      </c>
      <c r="AG46" s="2" t="inlineStr">
        <is>
          <t>Critical</t>
        </is>
      </c>
      <c r="AH46" s="2" t="inlineStr">
        <is>
          <t>High</t>
        </is>
      </c>
      <c r="AI46" s="2" t="inlineStr"/>
      <c r="AJ46" t="inlineStr">
        <is>
          <t>https://oracc.museum.upenn.edu/</t>
        </is>
      </c>
      <c r="AK46" t="inlineStr">
        <is>
          <t>https://oracc.museum.upenn.edu/</t>
        </is>
      </c>
      <c r="AL46" t="inlineStr">
        <is>
          <t>https://www.britishmuseum.org/collection/search?keyword=Mesopotamian+cylinder+seals</t>
        </is>
      </c>
      <c r="AM46" t="inlineStr">
        <is>
          <t>https://www.penn.museum/</t>
        </is>
      </c>
      <c r="AN46" t="inlineStr">
        <is>
          <t>https://pleiades.stoa.org/search?SearchableText=Mesopotamian+cylinder+seals</t>
        </is>
      </c>
      <c r="AO46" t="inlineStr">
        <is>
          <t>1) Fact base: ORACC. 2) Translation/text: ORACC. 3) Images/objects: British Museum Collection. 4) Context/explanation: Penn Museum. 5) Geography/maps: Pleiades. Use Suggested_Search_Term inside each portal.</t>
        </is>
      </c>
      <c r="AP46" t="inlineStr">
        <is>
          <t>Mixed: direct portal homepages plus search-result URLs where the portal exposes a public search endpoint.</t>
        </is>
      </c>
    </row>
    <row r="47">
      <c r="A47" s="2" t="n">
        <v>46</v>
      </c>
      <c r="B47" s="7" t="inlineStr">
        <is>
          <t>BCE_to_1AD</t>
        </is>
      </c>
      <c r="C47" s="2" t="inlineStr">
        <is>
          <t>Mesopotamia</t>
        </is>
      </c>
      <c r="D47" s="2" t="inlineStr">
        <is>
          <t>Mesopotamian traditions</t>
        </is>
      </c>
      <c r="E47" s="2" t="n">
        <v>-1400</v>
      </c>
      <c r="F47" s="2" t="n">
        <v>-500</v>
      </c>
      <c r="G47" s="2" t="inlineStr">
        <is>
          <t>c. 1400 BCE to 500 BCE</t>
        </is>
      </c>
      <c r="H47" s="2" t="inlineStr">
        <is>
          <t>Kudurru Stones</t>
        </is>
      </c>
      <c r="I47" s="2" t="inlineStr">
        <is>
          <t>Artifact corpus</t>
        </is>
      </c>
      <c r="J47" s="2" t="inlineStr">
        <is>
          <t>Object images</t>
        </is>
      </c>
      <c r="K47" s="2" t="inlineStr">
        <is>
          <t>Boundary law</t>
        </is>
      </c>
      <c r="L47" s="2" t="inlineStr">
        <is>
          <t>Divine symbols</t>
        </is>
      </c>
      <c r="M47" s="2" t="inlineStr">
        <is>
          <t>Iraq</t>
        </is>
      </c>
      <c r="N47" s="2" t="inlineStr">
        <is>
          <t>Babylonia</t>
        </is>
      </c>
      <c r="O47" s="2" t="inlineStr">
        <is>
          <t>Inscribed boundary stones carrying legal records and divine emblems.</t>
        </is>
      </c>
      <c r="P47" s="2" t="inlineStr">
        <is>
          <t>Excellent for linking text, symbol, and land control.</t>
        </is>
      </c>
      <c r="Q47" s="2" t="inlineStr">
        <is>
          <t>Medium</t>
        </is>
      </c>
      <c r="R47" s="2" t="inlineStr">
        <is>
          <t>High</t>
        </is>
      </c>
      <c r="S47" s="2" t="inlineStr">
        <is>
          <t>High</t>
        </is>
      </c>
      <c r="T47" s="2" t="inlineStr">
        <is>
          <t>ORACC</t>
        </is>
      </c>
      <c r="U47" s="8" t="inlineStr">
        <is>
          <t>https://oracc.museum.upenn.edu/</t>
        </is>
      </c>
      <c r="V47" s="2" t="inlineStr">
        <is>
          <t>ORACC</t>
        </is>
      </c>
      <c r="W47" s="8" t="inlineStr">
        <is>
          <t>https://oracc.museum.upenn.edu/</t>
        </is>
      </c>
      <c r="X47" s="2" t="inlineStr">
        <is>
          <t>British Museum Collection</t>
        </is>
      </c>
      <c r="Y47" s="8" t="inlineStr">
        <is>
          <t>https://www.britishmuseum.org/collection</t>
        </is>
      </c>
      <c r="Z47" s="2" t="inlineStr">
        <is>
          <t>Penn Museum</t>
        </is>
      </c>
      <c r="AA47" s="8" t="inlineStr">
        <is>
          <t>https://www.penn.museum/</t>
        </is>
      </c>
      <c r="AB47" s="2" t="inlineStr">
        <is>
          <t>Pleiades</t>
        </is>
      </c>
      <c r="AC47" s="8" t="inlineStr">
        <is>
          <t>https://pleiades.stoa.org/</t>
        </is>
      </c>
      <c r="AD47" s="2" t="inlineStr">
        <is>
          <t>Kudurru boundary stones</t>
        </is>
      </c>
      <c r="AE47" s="2" t="inlineStr">
        <is>
          <t>Good object-level evidence for divine symbol systems.</t>
        </is>
      </c>
      <c r="AF47" s="2" t="inlineStr">
        <is>
          <t>Law; sacred markers</t>
        </is>
      </c>
      <c r="AG47" s="2" t="inlineStr">
        <is>
          <t>Medium</t>
        </is>
      </c>
      <c r="AH47" s="2" t="inlineStr">
        <is>
          <t>Medium</t>
        </is>
      </c>
      <c r="AI47" s="2" t="inlineStr"/>
      <c r="AJ47" t="inlineStr">
        <is>
          <t>https://oracc.museum.upenn.edu/</t>
        </is>
      </c>
      <c r="AK47" t="inlineStr">
        <is>
          <t>https://oracc.museum.upenn.edu/</t>
        </is>
      </c>
      <c r="AL47" t="inlineStr">
        <is>
          <t>https://www.britishmuseum.org/collection/search?keyword=Kudurru+boundary+stones</t>
        </is>
      </c>
      <c r="AM47" t="inlineStr">
        <is>
          <t>https://www.penn.museum/</t>
        </is>
      </c>
      <c r="AN47" t="inlineStr">
        <is>
          <t>https://pleiades.stoa.org/search?SearchableText=Kudurru+boundary+stones</t>
        </is>
      </c>
      <c r="AO47" t="inlineStr">
        <is>
          <t>1) Fact base: ORACC. 2) Translation/text: ORACC. 3) Images/objects: British Museum Collection. 4) Context/explanation: Penn Museum. 5) Geography/maps: Pleiades. Use Suggested_Search_Term inside each portal.</t>
        </is>
      </c>
      <c r="AP47" t="inlineStr">
        <is>
          <t>Mixed: direct portal homepages plus search-result URLs where the portal exposes a public search endpoint.</t>
        </is>
      </c>
    </row>
    <row r="48">
      <c r="A48" s="2" t="n">
        <v>47</v>
      </c>
      <c r="B48" s="7" t="inlineStr">
        <is>
          <t>BCE_to_1AD</t>
        </is>
      </c>
      <c r="C48" s="2" t="inlineStr">
        <is>
          <t>Mesopotamia</t>
        </is>
      </c>
      <c r="D48" s="2" t="inlineStr">
        <is>
          <t>Mesopotamian traditions</t>
        </is>
      </c>
      <c r="E48" s="2" t="n">
        <v>-700</v>
      </c>
      <c r="F48" s="2" t="n">
        <v>-500</v>
      </c>
      <c r="G48" s="2" t="inlineStr">
        <is>
          <t>c. 700 BCE to 500 BCE</t>
        </is>
      </c>
      <c r="H48" s="2" t="inlineStr">
        <is>
          <t>Babylonian World Map (Imago Mundi)</t>
        </is>
      </c>
      <c r="I48" s="2" t="inlineStr">
        <is>
          <t>Artifact</t>
        </is>
      </c>
      <c r="J48" s="2" t="inlineStr">
        <is>
          <t>Tablet</t>
        </is>
      </c>
      <c r="K48" s="2" t="inlineStr">
        <is>
          <t>Cosmography</t>
        </is>
      </c>
      <c r="L48" s="2" t="inlineStr">
        <is>
          <t>Mythic geography</t>
        </is>
      </c>
      <c r="M48" s="2" t="inlineStr">
        <is>
          <t>Iraq</t>
        </is>
      </c>
      <c r="N48" s="2" t="inlineStr">
        <is>
          <t>Babylonian scholarly tradition</t>
        </is>
      </c>
      <c r="O48" s="2" t="inlineStr">
        <is>
          <t>Clay tablet diagramming the world with Babylon at center and peripheral regions.</t>
        </is>
      </c>
      <c r="P48" s="2" t="inlineStr">
        <is>
          <t>Strong source for how Mesopotamians conceptualized world geography.</t>
        </is>
      </c>
      <c r="Q48" s="2" t="inlineStr">
        <is>
          <t>High</t>
        </is>
      </c>
      <c r="R48" s="2" t="inlineStr">
        <is>
          <t>High</t>
        </is>
      </c>
      <c r="S48" s="2" t="inlineStr">
        <is>
          <t>High</t>
        </is>
      </c>
      <c r="T48" s="2" t="inlineStr">
        <is>
          <t>ORACC</t>
        </is>
      </c>
      <c r="U48" s="8" t="inlineStr">
        <is>
          <t>https://oracc.museum.upenn.edu/</t>
        </is>
      </c>
      <c r="V48" s="2" t="inlineStr">
        <is>
          <t>ORACC</t>
        </is>
      </c>
      <c r="W48" s="8" t="inlineStr">
        <is>
          <t>https://oracc.museum.upenn.edu/</t>
        </is>
      </c>
      <c r="X48" s="2" t="inlineStr">
        <is>
          <t>British Museum Collection</t>
        </is>
      </c>
      <c r="Y48" s="8" t="inlineStr">
        <is>
          <t>https://www.britishmuseum.org/collection</t>
        </is>
      </c>
      <c r="Z48" s="2" t="inlineStr">
        <is>
          <t>Penn Museum</t>
        </is>
      </c>
      <c r="AA48" s="8" t="inlineStr">
        <is>
          <t>https://www.penn.museum/</t>
        </is>
      </c>
      <c r="AB48" s="2" t="inlineStr">
        <is>
          <t>Pleiades</t>
        </is>
      </c>
      <c r="AC48" s="8" t="inlineStr">
        <is>
          <t>https://pleiades.stoa.org/</t>
        </is>
      </c>
      <c r="AD48" s="2" t="inlineStr">
        <is>
          <t>Imago Mundi tablet</t>
        </is>
      </c>
      <c r="AE48" s="2" t="inlineStr">
        <is>
          <t>Distinguish map symbolism from literal cartography.</t>
        </is>
      </c>
      <c r="AF48" s="2" t="inlineStr">
        <is>
          <t>World center; edges of earth</t>
        </is>
      </c>
      <c r="AG48" s="2" t="inlineStr">
        <is>
          <t>High</t>
        </is>
      </c>
      <c r="AH48" s="2" t="inlineStr">
        <is>
          <t>High</t>
        </is>
      </c>
      <c r="AI48" s="2" t="inlineStr"/>
      <c r="AJ48" t="inlineStr">
        <is>
          <t>https://oracc.museum.upenn.edu/</t>
        </is>
      </c>
      <c r="AK48" t="inlineStr">
        <is>
          <t>https://oracc.museum.upenn.edu/</t>
        </is>
      </c>
      <c r="AL48" t="inlineStr">
        <is>
          <t>https://www.britishmuseum.org/collection/search?keyword=Imago+Mundi+tablet</t>
        </is>
      </c>
      <c r="AM48" t="inlineStr">
        <is>
          <t>https://www.penn.museum/</t>
        </is>
      </c>
      <c r="AN48" t="inlineStr">
        <is>
          <t>https://pleiades.stoa.org/search?SearchableText=Imago+Mundi+tablet</t>
        </is>
      </c>
      <c r="AO48" t="inlineStr">
        <is>
          <t>1) Fact base: ORACC. 2) Translation/text: ORACC. 3) Images/objects: British Museum Collection. 4) Context/explanation: Penn Museum. 5) Geography/maps: Pleiades. Use Suggested_Search_Term inside each portal.</t>
        </is>
      </c>
      <c r="AP48" t="inlineStr">
        <is>
          <t>Mixed: direct portal homepages plus search-result URLs where the portal exposes a public search endpoint.</t>
        </is>
      </c>
    </row>
    <row r="49">
      <c r="A49" s="2" t="n">
        <v>48</v>
      </c>
      <c r="B49" s="7" t="inlineStr">
        <is>
          <t>BCE_to_1AD</t>
        </is>
      </c>
      <c r="C49" s="2" t="inlineStr">
        <is>
          <t>Egypt</t>
        </is>
      </c>
      <c r="D49" s="2" t="inlineStr">
        <is>
          <t>Ancient Egypt</t>
        </is>
      </c>
      <c r="E49" s="2" t="n">
        <v>-3100</v>
      </c>
      <c r="F49" s="2" t="n">
        <v>-3000</v>
      </c>
      <c r="G49" s="2" t="inlineStr">
        <is>
          <t>c. 3100 BCE to 3000 BCE</t>
        </is>
      </c>
      <c r="H49" s="2" t="inlineStr">
        <is>
          <t>Narmer Palette</t>
        </is>
      </c>
      <c r="I49" s="2" t="inlineStr">
        <is>
          <t>Artifact</t>
        </is>
      </c>
      <c r="J49" s="2" t="inlineStr">
        <is>
          <t>Object image</t>
        </is>
      </c>
      <c r="K49" s="2" t="inlineStr">
        <is>
          <t>Kingship</t>
        </is>
      </c>
      <c r="L49" s="2" t="inlineStr">
        <is>
          <t>State formation</t>
        </is>
      </c>
      <c r="M49" s="2" t="inlineStr">
        <is>
          <t>Egypt</t>
        </is>
      </c>
      <c r="N49" s="2" t="inlineStr">
        <is>
          <t>Upper/Lower Egypt</t>
        </is>
      </c>
      <c r="O49" s="2" t="inlineStr">
        <is>
          <t>Ceremonial palette associated with early dynastic unification iconography.</t>
        </is>
      </c>
      <c r="P49" s="2" t="inlineStr">
        <is>
          <t>A cornerstone object for origin-of-state narratives in Egypt.</t>
        </is>
      </c>
      <c r="Q49" s="2" t="inlineStr">
        <is>
          <t>Medium</t>
        </is>
      </c>
      <c r="R49" s="2" t="inlineStr">
        <is>
          <t>Not applicable</t>
        </is>
      </c>
      <c r="S49" s="2" t="inlineStr">
        <is>
          <t>High</t>
        </is>
      </c>
      <c r="T49" s="2" t="inlineStr">
        <is>
          <t>UNESCO</t>
        </is>
      </c>
      <c r="U49" s="8" t="inlineStr">
        <is>
          <t>https://whc.unesco.org/</t>
        </is>
      </c>
      <c r="V49" s="2" t="inlineStr">
        <is>
          <t>UCL Digital Egypt</t>
        </is>
      </c>
      <c r="W49" s="8" t="inlineStr">
        <is>
          <t>https://www.ucl.ac.uk/museums-static/digitalegypt/</t>
        </is>
      </c>
      <c r="X49" s="2" t="inlineStr">
        <is>
          <t>British Museum Collection</t>
        </is>
      </c>
      <c r="Y49" s="8" t="inlineStr">
        <is>
          <t>https://www.britishmuseum.org/collection</t>
        </is>
      </c>
      <c r="Z49" s="2" t="inlineStr">
        <is>
          <t>UCL Digital Egypt</t>
        </is>
      </c>
      <c r="AA49" s="8" t="inlineStr">
        <is>
          <t>https://www.ucl.ac.uk/museums-static/digitalegypt/</t>
        </is>
      </c>
      <c r="AB49" s="2" t="inlineStr">
        <is>
          <t>UNESCO</t>
        </is>
      </c>
      <c r="AC49" s="8" t="inlineStr">
        <is>
          <t>https://whc.unesco.org/</t>
        </is>
      </c>
      <c r="AD49" s="2" t="inlineStr">
        <is>
          <t>Narmer Palette</t>
        </is>
      </c>
      <c r="AE49" s="2" t="inlineStr">
        <is>
          <t>Iconographic interpretation varies; object itself is secure.</t>
        </is>
      </c>
      <c r="AF49" s="2" t="inlineStr">
        <is>
          <t>Kingship; unification</t>
        </is>
      </c>
      <c r="AG49" s="2" t="inlineStr">
        <is>
          <t>High</t>
        </is>
      </c>
      <c r="AH49" s="2" t="inlineStr">
        <is>
          <t>High</t>
        </is>
      </c>
      <c r="AI49" s="2" t="inlineStr"/>
      <c r="AJ49" t="inlineStr">
        <is>
          <t>https://whc.unesco.org/en/search/?searchterm=Narmer+Palette</t>
        </is>
      </c>
      <c r="AK49" t="inlineStr">
        <is>
          <t>https://www.ucl.ac.uk/museums-static/digitalegypt/</t>
        </is>
      </c>
      <c r="AL49" t="inlineStr">
        <is>
          <t>https://www.britishmuseum.org/collection/search?keyword=Narmer+Palette</t>
        </is>
      </c>
      <c r="AM49" t="inlineStr">
        <is>
          <t>https://www.ucl.ac.uk/museums-static/digitalegypt/</t>
        </is>
      </c>
      <c r="AN49" t="inlineStr">
        <is>
          <t>https://whc.unesco.org/en/search/?searchterm=Narmer+Palette</t>
        </is>
      </c>
      <c r="AO49" t="inlineStr">
        <is>
          <t>1) Fact base: UNESCO. 2) Translation/text: UCL Digital Egypt. 3) Images/objects: British Museum Collection. 4) Context/explanation: UCL Digital Egypt. 5) Geography/maps: UNESCO. Use Suggested_Search_Term inside each portal.</t>
        </is>
      </c>
      <c r="AP49" t="inlineStr">
        <is>
          <t>Mixed: direct portal homepages plus search-result URLs where the portal exposes a public search endpoint.</t>
        </is>
      </c>
    </row>
    <row r="50">
      <c r="A50" s="2" t="n">
        <v>49</v>
      </c>
      <c r="B50" s="7" t="inlineStr">
        <is>
          <t>BCE_to_1AD</t>
        </is>
      </c>
      <c r="C50" s="2" t="inlineStr">
        <is>
          <t>Egypt</t>
        </is>
      </c>
      <c r="D50" s="2" t="inlineStr">
        <is>
          <t>Ancient Egypt</t>
        </is>
      </c>
      <c r="E50" s="2" t="n">
        <v>-2490</v>
      </c>
      <c r="F50" s="2" t="n">
        <v>-2300</v>
      </c>
      <c r="G50" s="2" t="inlineStr">
        <is>
          <t>c. 2490 BCE to 2300 BCE</t>
        </is>
      </c>
      <c r="H50" s="2" t="inlineStr">
        <is>
          <t>Pyramid Texts</t>
        </is>
      </c>
      <c r="I50" s="2" t="inlineStr">
        <is>
          <t>Text</t>
        </is>
      </c>
      <c r="J50" s="2" t="inlineStr">
        <is>
          <t>Temple/tomb inscriptions</t>
        </is>
      </c>
      <c r="K50" s="2" t="inlineStr">
        <is>
          <t>Afterlife</t>
        </is>
      </c>
      <c r="L50" s="2" t="inlineStr">
        <is>
          <t>Creation</t>
        </is>
      </c>
      <c r="M50" s="2" t="inlineStr">
        <is>
          <t>Egypt</t>
        </is>
      </c>
      <c r="N50" s="2" t="inlineStr">
        <is>
          <t>Old Kingdom royal pyramids</t>
        </is>
      </c>
      <c r="O50" s="2" t="inlineStr">
        <is>
          <t>Oldest large corpus of Egyptian funerary utterances inscribed in royal pyramids.</t>
        </is>
      </c>
      <c r="P50" s="2" t="inlineStr">
        <is>
          <t>Crucial for Egyptian cosmology, afterlife, and divine speech.</t>
        </is>
      </c>
      <c r="Q50" s="2" t="inlineStr">
        <is>
          <t>High</t>
        </is>
      </c>
      <c r="R50" s="2" t="inlineStr">
        <is>
          <t>High</t>
        </is>
      </c>
      <c r="S50" s="2" t="inlineStr">
        <is>
          <t>Medium</t>
        </is>
      </c>
      <c r="T50" s="2" t="inlineStr">
        <is>
          <t>TLA</t>
        </is>
      </c>
      <c r="U50" s="8" t="inlineStr">
        <is>
          <t>https://thesaurus-linguae-aegyptiae.de/</t>
        </is>
      </c>
      <c r="V50" s="2" t="inlineStr">
        <is>
          <t>TLA</t>
        </is>
      </c>
      <c r="W50" s="8" t="inlineStr">
        <is>
          <t>https://thesaurus-linguae-aegyptiae.de/</t>
        </is>
      </c>
      <c r="X50" s="2" t="inlineStr">
        <is>
          <t>British Museum Collection</t>
        </is>
      </c>
      <c r="Y50" s="8" t="inlineStr">
        <is>
          <t>https://www.britishmuseum.org/collection</t>
        </is>
      </c>
      <c r="Z50" s="2" t="inlineStr">
        <is>
          <t>UCL Digital Egypt</t>
        </is>
      </c>
      <c r="AA50" s="8" t="inlineStr">
        <is>
          <t>https://www.ucl.ac.uk/museums-static/digitalegypt/</t>
        </is>
      </c>
      <c r="AB50" s="2" t="inlineStr">
        <is>
          <t>UNESCO</t>
        </is>
      </c>
      <c r="AC50" s="8" t="inlineStr">
        <is>
          <t>https://whc.unesco.org/</t>
        </is>
      </c>
      <c r="AD50" s="2" t="inlineStr">
        <is>
          <t>Pyramid Texts</t>
        </is>
      </c>
      <c r="AE50" s="2" t="inlineStr">
        <is>
          <t>Read with tomb context, not as free-floating theology only.</t>
        </is>
      </c>
      <c r="AF50" s="2" t="inlineStr">
        <is>
          <t>Afterlife; solar ascent; creation</t>
        </is>
      </c>
      <c r="AG50" s="2" t="inlineStr">
        <is>
          <t>Critical</t>
        </is>
      </c>
      <c r="AH50" s="2" t="inlineStr">
        <is>
          <t>High</t>
        </is>
      </c>
      <c r="AI50" s="2" t="inlineStr"/>
      <c r="AJ50" t="inlineStr">
        <is>
          <t>https://thesaurus-linguae-aegyptiae.de/</t>
        </is>
      </c>
      <c r="AK50" t="inlineStr">
        <is>
          <t>https://thesaurus-linguae-aegyptiae.de/</t>
        </is>
      </c>
      <c r="AL50" t="inlineStr">
        <is>
          <t>https://www.britishmuseum.org/collection/search?keyword=Pyramid+Texts</t>
        </is>
      </c>
      <c r="AM50" t="inlineStr">
        <is>
          <t>https://www.ucl.ac.uk/museums-static/digitalegypt/</t>
        </is>
      </c>
      <c r="AN50" t="inlineStr">
        <is>
          <t>https://whc.unesco.org/en/search/?searchterm=Pyramid+Texts</t>
        </is>
      </c>
      <c r="AO50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50" t="inlineStr">
        <is>
          <t>Mixed: direct portal homepages plus search-result URLs where the portal exposes a public search endpoint.</t>
        </is>
      </c>
    </row>
    <row r="51">
      <c r="A51" s="2" t="n">
        <v>50</v>
      </c>
      <c r="B51" s="7" t="inlineStr">
        <is>
          <t>BCE_to_1AD</t>
        </is>
      </c>
      <c r="C51" s="2" t="inlineStr">
        <is>
          <t>Egypt</t>
        </is>
      </c>
      <c r="D51" s="2" t="inlineStr">
        <is>
          <t>Ancient Egypt</t>
        </is>
      </c>
      <c r="E51" s="2" t="n">
        <v>-2100</v>
      </c>
      <c r="F51" s="2" t="n">
        <v>-1700</v>
      </c>
      <c r="G51" s="2" t="inlineStr">
        <is>
          <t>c. 2100 BCE to 1700 BCE</t>
        </is>
      </c>
      <c r="H51" s="2" t="inlineStr">
        <is>
          <t>Coffin Texts</t>
        </is>
      </c>
      <c r="I51" s="2" t="inlineStr">
        <is>
          <t>Text</t>
        </is>
      </c>
      <c r="J51" s="2" t="inlineStr">
        <is>
          <t>Coffin inscriptions</t>
        </is>
      </c>
      <c r="K51" s="2" t="inlineStr">
        <is>
          <t>Afterlife</t>
        </is>
      </c>
      <c r="L51" s="2" t="inlineStr">
        <is>
          <t>Cosmology</t>
        </is>
      </c>
      <c r="M51" s="2" t="inlineStr">
        <is>
          <t>Egypt</t>
        </is>
      </c>
      <c r="N51" s="2" t="inlineStr">
        <is>
          <t>Middle Kingdom</t>
        </is>
      </c>
      <c r="O51" s="2" t="inlineStr">
        <is>
          <t>Expanded funerary corpus on coffins of non-royal elites.</t>
        </is>
      </c>
      <c r="P51" s="2" t="inlineStr">
        <is>
          <t>Shows diffusion and development of afterlife and cosmological ideas.</t>
        </is>
      </c>
      <c r="Q51" s="2" t="inlineStr">
        <is>
          <t>Medium</t>
        </is>
      </c>
      <c r="R51" s="2" t="inlineStr">
        <is>
          <t>High</t>
        </is>
      </c>
      <c r="S51" s="2" t="inlineStr">
        <is>
          <t>Medium</t>
        </is>
      </c>
      <c r="T51" s="2" t="inlineStr">
        <is>
          <t>TLA</t>
        </is>
      </c>
      <c r="U51" s="8" t="inlineStr">
        <is>
          <t>https://thesaurus-linguae-aegyptiae.de/</t>
        </is>
      </c>
      <c r="V51" s="2" t="inlineStr">
        <is>
          <t>TLA</t>
        </is>
      </c>
      <c r="W51" s="8" t="inlineStr">
        <is>
          <t>https://thesaurus-linguae-aegyptiae.de/</t>
        </is>
      </c>
      <c r="X51" s="2" t="inlineStr">
        <is>
          <t>British Museum Collection</t>
        </is>
      </c>
      <c r="Y51" s="8" t="inlineStr">
        <is>
          <t>https://www.britishmuseum.org/collection</t>
        </is>
      </c>
      <c r="Z51" s="2" t="inlineStr">
        <is>
          <t>UCL Digital Egypt</t>
        </is>
      </c>
      <c r="AA51" s="8" t="inlineStr">
        <is>
          <t>https://www.ucl.ac.uk/museums-static/digitalegypt/</t>
        </is>
      </c>
      <c r="AB51" s="2" t="inlineStr">
        <is>
          <t>UNESCO</t>
        </is>
      </c>
      <c r="AC51" s="8" t="inlineStr">
        <is>
          <t>https://whc.unesco.org/</t>
        </is>
      </c>
      <c r="AD51" s="2" t="inlineStr">
        <is>
          <t>Coffin Texts</t>
        </is>
      </c>
      <c r="AE51" s="2" t="inlineStr">
        <is>
          <t>Useful bridge between Pyramid Texts and later funerary books.</t>
        </is>
      </c>
      <c r="AF51" s="2" t="inlineStr">
        <is>
          <t>Afterlife; democratization of ritual</t>
        </is>
      </c>
      <c r="AG51" s="2" t="inlineStr">
        <is>
          <t>Critical</t>
        </is>
      </c>
      <c r="AH51" s="2" t="inlineStr">
        <is>
          <t>High</t>
        </is>
      </c>
      <c r="AI51" s="2" t="inlineStr"/>
      <c r="AJ51" t="inlineStr">
        <is>
          <t>https://thesaurus-linguae-aegyptiae.de/</t>
        </is>
      </c>
      <c r="AK51" t="inlineStr">
        <is>
          <t>https://thesaurus-linguae-aegyptiae.de/</t>
        </is>
      </c>
      <c r="AL51" t="inlineStr">
        <is>
          <t>https://www.britishmuseum.org/collection/search?keyword=Coffin+Texts</t>
        </is>
      </c>
      <c r="AM51" t="inlineStr">
        <is>
          <t>https://www.ucl.ac.uk/museums-static/digitalegypt/</t>
        </is>
      </c>
      <c r="AN51" t="inlineStr">
        <is>
          <t>https://whc.unesco.org/en/search/?searchterm=Coffin+Texts</t>
        </is>
      </c>
      <c r="AO51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51" t="inlineStr">
        <is>
          <t>Mixed: direct portal homepages plus search-result URLs where the portal exposes a public search endpoint.</t>
        </is>
      </c>
    </row>
    <row r="52">
      <c r="A52" s="2" t="n">
        <v>51</v>
      </c>
      <c r="B52" s="7" t="inlineStr">
        <is>
          <t>BCE_to_1AD</t>
        </is>
      </c>
      <c r="C52" s="2" t="inlineStr">
        <is>
          <t>Egypt</t>
        </is>
      </c>
      <c r="D52" s="2" t="inlineStr">
        <is>
          <t>Ancient Egypt</t>
        </is>
      </c>
      <c r="E52" s="2" t="n">
        <v>-1550</v>
      </c>
      <c r="F52" s="2" t="n">
        <v>-50</v>
      </c>
      <c r="G52" s="2" t="inlineStr">
        <is>
          <t>c. 1550 BCE to 50 BCE</t>
        </is>
      </c>
      <c r="H52" s="2" t="inlineStr">
        <is>
          <t>Book of the Dead</t>
        </is>
      </c>
      <c r="I52" s="2" t="inlineStr">
        <is>
          <t>Text</t>
        </is>
      </c>
      <c r="J52" s="2" t="inlineStr">
        <is>
          <t>Papyrus corpus</t>
        </is>
      </c>
      <c r="K52" s="2" t="inlineStr">
        <is>
          <t>Afterlife</t>
        </is>
      </c>
      <c r="L52" s="2" t="inlineStr">
        <is>
          <t>Ritual</t>
        </is>
      </c>
      <c r="M52" s="2" t="inlineStr">
        <is>
          <t>Egypt</t>
        </is>
      </c>
      <c r="N52" s="2" t="inlineStr">
        <is>
          <t>New Kingdom onward</t>
        </is>
      </c>
      <c r="O52" s="2" t="inlineStr">
        <is>
          <t>Collection of spells for navigating the afterlife, often on papyrus.</t>
        </is>
      </c>
      <c r="P52" s="2" t="inlineStr">
        <is>
          <t>One of the most image-rich and accessible Egyptian text corpora.</t>
        </is>
      </c>
      <c r="Q52" s="2" t="inlineStr">
        <is>
          <t>High</t>
        </is>
      </c>
      <c r="R52" s="2" t="inlineStr">
        <is>
          <t>High</t>
        </is>
      </c>
      <c r="S52" s="2" t="inlineStr">
        <is>
          <t>High</t>
        </is>
      </c>
      <c r="T52" s="2" t="inlineStr">
        <is>
          <t>TLA</t>
        </is>
      </c>
      <c r="U52" s="8" t="inlineStr">
        <is>
          <t>https://thesaurus-linguae-aegyptiae.de/</t>
        </is>
      </c>
      <c r="V52" s="2" t="inlineStr">
        <is>
          <t>TLA</t>
        </is>
      </c>
      <c r="W52" s="8" t="inlineStr">
        <is>
          <t>https://thesaurus-linguae-aegyptiae.de/</t>
        </is>
      </c>
      <c r="X52" s="2" t="inlineStr">
        <is>
          <t>British Museum Collection</t>
        </is>
      </c>
      <c r="Y52" s="8" t="inlineStr">
        <is>
          <t>https://www.britishmuseum.org/collection</t>
        </is>
      </c>
      <c r="Z52" s="2" t="inlineStr">
        <is>
          <t>UCL Digital Egypt</t>
        </is>
      </c>
      <c r="AA52" s="8" t="inlineStr">
        <is>
          <t>https://www.ucl.ac.uk/museums-static/digitalegypt/</t>
        </is>
      </c>
      <c r="AB52" s="2" t="inlineStr">
        <is>
          <t>UNESCO</t>
        </is>
      </c>
      <c r="AC52" s="8" t="inlineStr">
        <is>
          <t>https://whc.unesco.org/</t>
        </is>
      </c>
      <c r="AD52" s="2" t="inlineStr">
        <is>
          <t>Book of the Dead papyri</t>
        </is>
      </c>
      <c r="AE52" s="2" t="inlineStr">
        <is>
          <t>Manuscripts vary; it is not one fixed book.</t>
        </is>
      </c>
      <c r="AF52" s="2" t="inlineStr">
        <is>
          <t>Afterlife; judgment; sacred speech</t>
        </is>
      </c>
      <c r="AG52" s="2" t="inlineStr">
        <is>
          <t>Critical</t>
        </is>
      </c>
      <c r="AH52" s="2" t="inlineStr">
        <is>
          <t>High</t>
        </is>
      </c>
      <c r="AI52" s="2" t="inlineStr"/>
      <c r="AJ52" t="inlineStr">
        <is>
          <t>https://thesaurus-linguae-aegyptiae.de/</t>
        </is>
      </c>
      <c r="AK52" t="inlineStr">
        <is>
          <t>https://thesaurus-linguae-aegyptiae.de/</t>
        </is>
      </c>
      <c r="AL52" t="inlineStr">
        <is>
          <t>https://www.britishmuseum.org/collection/search?keyword=Book+of+the+Dead+papyri</t>
        </is>
      </c>
      <c r="AM52" t="inlineStr">
        <is>
          <t>https://www.ucl.ac.uk/museums-static/digitalegypt/</t>
        </is>
      </c>
      <c r="AN52" t="inlineStr">
        <is>
          <t>https://whc.unesco.org/en/search/?searchterm=Book+of+the+Dead+papyri</t>
        </is>
      </c>
      <c r="AO52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52" t="inlineStr">
        <is>
          <t>Mixed: direct portal homepages plus search-result URLs where the portal exposes a public search endpoint.</t>
        </is>
      </c>
    </row>
    <row r="53">
      <c r="A53" s="2" t="n">
        <v>52</v>
      </c>
      <c r="B53" s="7" t="inlineStr">
        <is>
          <t>BCE_to_1AD</t>
        </is>
      </c>
      <c r="C53" s="2" t="inlineStr">
        <is>
          <t>Egypt</t>
        </is>
      </c>
      <c r="D53" s="2" t="inlineStr">
        <is>
          <t>Ancient Egypt</t>
        </is>
      </c>
      <c r="E53" s="2" t="n">
        <v>-1500</v>
      </c>
      <c r="F53" s="2" t="n">
        <v>-1100</v>
      </c>
      <c r="G53" s="2" t="inlineStr">
        <is>
          <t>c. 1500 BCE to 1100 BCE</t>
        </is>
      </c>
      <c r="H53" s="2" t="inlineStr">
        <is>
          <t>Amduat</t>
        </is>
      </c>
      <c r="I53" s="2" t="inlineStr">
        <is>
          <t>Text</t>
        </is>
      </c>
      <c r="J53" s="2" t="inlineStr">
        <is>
          <t>Tomb inscriptions</t>
        </is>
      </c>
      <c r="K53" s="2" t="inlineStr">
        <is>
          <t>Underworld</t>
        </is>
      </c>
      <c r="L53" s="2" t="inlineStr">
        <is>
          <t>Solar cycle</t>
        </is>
      </c>
      <c r="M53" s="2" t="inlineStr">
        <is>
          <t>Egypt</t>
        </is>
      </c>
      <c r="N53" s="2" t="inlineStr">
        <is>
          <t>New Kingdom royal tomb tradition</t>
        </is>
      </c>
      <c r="O53" s="2" t="inlineStr">
        <is>
          <t>Book of the hidden chamber describing the sun god's nightly journey.</t>
        </is>
      </c>
      <c r="P53" s="2" t="inlineStr">
        <is>
          <t>Major source for Egyptian underworld geography and solar regeneration.</t>
        </is>
      </c>
      <c r="Q53" s="2" t="inlineStr">
        <is>
          <t>Medium</t>
        </is>
      </c>
      <c r="R53" s="2" t="inlineStr">
        <is>
          <t>High</t>
        </is>
      </c>
      <c r="S53" s="2" t="inlineStr">
        <is>
          <t>Medium</t>
        </is>
      </c>
      <c r="T53" s="2" t="inlineStr">
        <is>
          <t>TLA</t>
        </is>
      </c>
      <c r="U53" s="8" t="inlineStr">
        <is>
          <t>https://thesaurus-linguae-aegyptiae.de/</t>
        </is>
      </c>
      <c r="V53" s="2" t="inlineStr">
        <is>
          <t>TLA</t>
        </is>
      </c>
      <c r="W53" s="8" t="inlineStr">
        <is>
          <t>https://thesaurus-linguae-aegyptiae.de/</t>
        </is>
      </c>
      <c r="X53" s="2" t="inlineStr">
        <is>
          <t>British Museum Collection</t>
        </is>
      </c>
      <c r="Y53" s="8" t="inlineStr">
        <is>
          <t>https://www.britishmuseum.org/collection</t>
        </is>
      </c>
      <c r="Z53" s="2" t="inlineStr">
        <is>
          <t>UCL Digital Egypt</t>
        </is>
      </c>
      <c r="AA53" s="8" t="inlineStr">
        <is>
          <t>https://www.ucl.ac.uk/museums-static/digitalegypt/</t>
        </is>
      </c>
      <c r="AB53" s="2" t="inlineStr">
        <is>
          <t>UNESCO</t>
        </is>
      </c>
      <c r="AC53" s="8" t="inlineStr">
        <is>
          <t>https://whc.unesco.org/</t>
        </is>
      </c>
      <c r="AD53" s="2" t="inlineStr">
        <is>
          <t>Amduat</t>
        </is>
      </c>
      <c r="AE53" s="2" t="inlineStr">
        <is>
          <t>Best used with tomb imagery and sequence diagrams.</t>
        </is>
      </c>
      <c r="AF53" s="2" t="inlineStr">
        <is>
          <t>Underworld map; rebirth</t>
        </is>
      </c>
      <c r="AG53" s="2" t="inlineStr">
        <is>
          <t>High</t>
        </is>
      </c>
      <c r="AH53" s="2" t="inlineStr">
        <is>
          <t>High</t>
        </is>
      </c>
      <c r="AI53" s="2" t="inlineStr"/>
      <c r="AJ53" t="inlineStr">
        <is>
          <t>https://thesaurus-linguae-aegyptiae.de/</t>
        </is>
      </c>
      <c r="AK53" t="inlineStr">
        <is>
          <t>https://thesaurus-linguae-aegyptiae.de/</t>
        </is>
      </c>
      <c r="AL53" t="inlineStr">
        <is>
          <t>https://www.britishmuseum.org/collection/search?keyword=Amduat</t>
        </is>
      </c>
      <c r="AM53" t="inlineStr">
        <is>
          <t>https://www.ucl.ac.uk/museums-static/digitalegypt/</t>
        </is>
      </c>
      <c r="AN53" t="inlineStr">
        <is>
          <t>https://whc.unesco.org/en/search/?searchterm=Amduat</t>
        </is>
      </c>
      <c r="AO53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53" t="inlineStr">
        <is>
          <t>Mixed: direct portal homepages plus search-result URLs where the portal exposes a public search endpoint.</t>
        </is>
      </c>
    </row>
    <row r="54">
      <c r="A54" s="2" t="n">
        <v>53</v>
      </c>
      <c r="B54" s="7" t="inlineStr">
        <is>
          <t>BCE_to_1AD</t>
        </is>
      </c>
      <c r="C54" s="2" t="inlineStr">
        <is>
          <t>Egypt</t>
        </is>
      </c>
      <c r="D54" s="2" t="inlineStr">
        <is>
          <t>Ancient Egypt</t>
        </is>
      </c>
      <c r="E54" s="2" t="n">
        <v>-1300</v>
      </c>
      <c r="F54" s="2" t="n">
        <v>-1000</v>
      </c>
      <c r="G54" s="2" t="inlineStr">
        <is>
          <t>c. 1300 BCE to 1000 BCE</t>
        </is>
      </c>
      <c r="H54" s="2" t="inlineStr">
        <is>
          <t>Book of Gates</t>
        </is>
      </c>
      <c r="I54" s="2" t="inlineStr">
        <is>
          <t>Text</t>
        </is>
      </c>
      <c r="J54" s="2" t="inlineStr">
        <is>
          <t>Tomb inscriptions</t>
        </is>
      </c>
      <c r="K54" s="2" t="inlineStr">
        <is>
          <t>Underworld</t>
        </is>
      </c>
      <c r="L54" s="2" t="inlineStr">
        <is>
          <t>Judgment</t>
        </is>
      </c>
      <c r="M54" s="2" t="inlineStr">
        <is>
          <t>Egypt</t>
        </is>
      </c>
      <c r="N54" s="2" t="inlineStr">
        <is>
          <t>New Kingdom royal tomb tradition</t>
        </is>
      </c>
      <c r="O54" s="2" t="inlineStr">
        <is>
          <t>Funerary composition organizing the night journey through gated regions.</t>
        </is>
      </c>
      <c r="P54" s="2" t="inlineStr">
        <is>
          <t>Helpful for structured underworld cosmography.</t>
        </is>
      </c>
      <c r="Q54" s="2" t="inlineStr">
        <is>
          <t>Medium</t>
        </is>
      </c>
      <c r="R54" s="2" t="inlineStr">
        <is>
          <t>High</t>
        </is>
      </c>
      <c r="S54" s="2" t="inlineStr">
        <is>
          <t>Medium</t>
        </is>
      </c>
      <c r="T54" s="2" t="inlineStr">
        <is>
          <t>TLA</t>
        </is>
      </c>
      <c r="U54" s="8" t="inlineStr">
        <is>
          <t>https://thesaurus-linguae-aegyptiae.de/</t>
        </is>
      </c>
      <c r="V54" s="2" t="inlineStr">
        <is>
          <t>TLA</t>
        </is>
      </c>
      <c r="W54" s="8" t="inlineStr">
        <is>
          <t>https://thesaurus-linguae-aegyptiae.de/</t>
        </is>
      </c>
      <c r="X54" s="2" t="inlineStr">
        <is>
          <t>British Museum Collection</t>
        </is>
      </c>
      <c r="Y54" s="8" t="inlineStr">
        <is>
          <t>https://www.britishmuseum.org/collection</t>
        </is>
      </c>
      <c r="Z54" s="2" t="inlineStr">
        <is>
          <t>UCL Digital Egypt</t>
        </is>
      </c>
      <c r="AA54" s="8" t="inlineStr">
        <is>
          <t>https://www.ucl.ac.uk/museums-static/digitalegypt/</t>
        </is>
      </c>
      <c r="AB54" s="2" t="inlineStr">
        <is>
          <t>UNESCO</t>
        </is>
      </c>
      <c r="AC54" s="8" t="inlineStr">
        <is>
          <t>https://whc.unesco.org/</t>
        </is>
      </c>
      <c r="AD54" s="2" t="inlineStr">
        <is>
          <t>Book of Gates</t>
        </is>
      </c>
      <c r="AE54" s="2" t="inlineStr">
        <is>
          <t>Later than Pyramid Texts but important for cosmological development.</t>
        </is>
      </c>
      <c r="AF54" s="2" t="inlineStr">
        <is>
          <t>Underworld zones; gates</t>
        </is>
      </c>
      <c r="AG54" s="2" t="inlineStr">
        <is>
          <t>Medium</t>
        </is>
      </c>
      <c r="AH54" s="2" t="inlineStr">
        <is>
          <t>Medium</t>
        </is>
      </c>
      <c r="AI54" s="2" t="inlineStr"/>
      <c r="AJ54" t="inlineStr">
        <is>
          <t>https://thesaurus-linguae-aegyptiae.de/</t>
        </is>
      </c>
      <c r="AK54" t="inlineStr">
        <is>
          <t>https://thesaurus-linguae-aegyptiae.de/</t>
        </is>
      </c>
      <c r="AL54" t="inlineStr">
        <is>
          <t>https://www.britishmuseum.org/collection/search?keyword=Book+of+Gates</t>
        </is>
      </c>
      <c r="AM54" t="inlineStr">
        <is>
          <t>https://www.ucl.ac.uk/museums-static/digitalegypt/</t>
        </is>
      </c>
      <c r="AN54" t="inlineStr">
        <is>
          <t>https://whc.unesco.org/en/search/?searchterm=Book+of+Gates</t>
        </is>
      </c>
      <c r="AO54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54" t="inlineStr">
        <is>
          <t>Mixed: direct portal homepages plus search-result URLs where the portal exposes a public search endpoint.</t>
        </is>
      </c>
    </row>
    <row r="55">
      <c r="A55" s="2" t="n">
        <v>54</v>
      </c>
      <c r="B55" s="7" t="inlineStr">
        <is>
          <t>BCE_to_1AD</t>
        </is>
      </c>
      <c r="C55" s="2" t="inlineStr">
        <is>
          <t>Egypt</t>
        </is>
      </c>
      <c r="D55" s="2" t="inlineStr">
        <is>
          <t>Ancient Egypt</t>
        </is>
      </c>
      <c r="E55" s="2" t="n">
        <v>-2500</v>
      </c>
      <c r="F55" s="2" t="n">
        <v>-700</v>
      </c>
      <c r="G55" s="2" t="inlineStr">
        <is>
          <t>c. 2500 BCE to 700 BCE</t>
        </is>
      </c>
      <c r="H55" s="2" t="inlineStr">
        <is>
          <t>Osiris Myth Cycle</t>
        </is>
      </c>
      <c r="I55" s="2" t="inlineStr">
        <is>
          <t>Text tradition</t>
        </is>
      </c>
      <c r="J55" s="2" t="inlineStr">
        <is>
          <t>Temple/tomb/late literary witnesses</t>
        </is>
      </c>
      <c r="K55" s="2" t="inlineStr">
        <is>
          <t>Death and resurrection</t>
        </is>
      </c>
      <c r="L55" s="2" t="inlineStr">
        <is>
          <t>Kingship</t>
        </is>
      </c>
      <c r="M55" s="2" t="inlineStr">
        <is>
          <t>Egypt</t>
        </is>
      </c>
      <c r="N55" s="2" t="inlineStr">
        <is>
          <t>Abydos and pan-Egyptian tradition</t>
        </is>
      </c>
      <c r="O55" s="2" t="inlineStr">
        <is>
          <t>Cluster of texts and rituals around Osiris, Isis, Horus, and Seth.</t>
        </is>
      </c>
      <c r="P55" s="2" t="inlineStr">
        <is>
          <t>Central Egyptian template for death, succession, and restoration.</t>
        </is>
      </c>
      <c r="Q55" s="2" t="inlineStr">
        <is>
          <t>High</t>
        </is>
      </c>
      <c r="R55" s="2" t="inlineStr">
        <is>
          <t>Partial</t>
        </is>
      </c>
      <c r="S55" s="2" t="inlineStr">
        <is>
          <t>Medium</t>
        </is>
      </c>
      <c r="T55" s="2" t="inlineStr">
        <is>
          <t>TLA</t>
        </is>
      </c>
      <c r="U55" s="8" t="inlineStr">
        <is>
          <t>https://thesaurus-linguae-aegyptiae.de/</t>
        </is>
      </c>
      <c r="V55" s="2" t="inlineStr">
        <is>
          <t>TLA</t>
        </is>
      </c>
      <c r="W55" s="8" t="inlineStr">
        <is>
          <t>https://thesaurus-linguae-aegyptiae.de/</t>
        </is>
      </c>
      <c r="X55" s="2" t="inlineStr">
        <is>
          <t>British Museum Collection</t>
        </is>
      </c>
      <c r="Y55" s="8" t="inlineStr">
        <is>
          <t>https://www.britishmuseum.org/collection</t>
        </is>
      </c>
      <c r="Z55" s="2" t="inlineStr">
        <is>
          <t>UCL Digital Egypt</t>
        </is>
      </c>
      <c r="AA55" s="8" t="inlineStr">
        <is>
          <t>https://www.ucl.ac.uk/museums-static/digitalegypt/</t>
        </is>
      </c>
      <c r="AB55" s="2" t="inlineStr">
        <is>
          <t>UNESCO</t>
        </is>
      </c>
      <c r="AC55" s="8" t="inlineStr">
        <is>
          <t>https://whc.unesco.org/</t>
        </is>
      </c>
      <c r="AD55" s="2" t="inlineStr">
        <is>
          <t>Osiris texts</t>
        </is>
      </c>
      <c r="AE55" s="2" t="inlineStr">
        <is>
          <t>Myth is distributed across many compositions, not one canonical text.</t>
        </is>
      </c>
      <c r="AF55" s="2" t="inlineStr">
        <is>
          <t>Resurrection; divine kingship</t>
        </is>
      </c>
      <c r="AG55" s="2" t="inlineStr">
        <is>
          <t>Critical</t>
        </is>
      </c>
      <c r="AH55" s="2" t="inlineStr">
        <is>
          <t>High</t>
        </is>
      </c>
      <c r="AI55" s="2" t="inlineStr"/>
      <c r="AJ55" t="inlineStr">
        <is>
          <t>https://thesaurus-linguae-aegyptiae.de/</t>
        </is>
      </c>
      <c r="AK55" t="inlineStr">
        <is>
          <t>https://thesaurus-linguae-aegyptiae.de/</t>
        </is>
      </c>
      <c r="AL55" t="inlineStr">
        <is>
          <t>https://www.britishmuseum.org/collection/search?keyword=Osiris+texts</t>
        </is>
      </c>
      <c r="AM55" t="inlineStr">
        <is>
          <t>https://www.ucl.ac.uk/museums-static/digitalegypt/</t>
        </is>
      </c>
      <c r="AN55" t="inlineStr">
        <is>
          <t>https://whc.unesco.org/en/search/?searchterm=Osiris+texts</t>
        </is>
      </c>
      <c r="AO55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55" t="inlineStr">
        <is>
          <t>Mixed: direct portal homepages plus search-result URLs where the portal exposes a public search endpoint.</t>
        </is>
      </c>
    </row>
    <row r="56">
      <c r="A56" s="2" t="n">
        <v>55</v>
      </c>
      <c r="B56" s="7" t="inlineStr">
        <is>
          <t>BCE_to_1AD</t>
        </is>
      </c>
      <c r="C56" s="2" t="inlineStr">
        <is>
          <t>Egypt</t>
        </is>
      </c>
      <c r="D56" s="2" t="inlineStr">
        <is>
          <t>Ancient Egypt</t>
        </is>
      </c>
      <c r="E56" s="2" t="n">
        <v>-700</v>
      </c>
      <c r="F56" s="2" t="n">
        <v>-300</v>
      </c>
      <c r="G56" s="2" t="inlineStr">
        <is>
          <t>c. 700 BCE to 300 BCE</t>
        </is>
      </c>
      <c r="H56" s="2" t="inlineStr">
        <is>
          <t>Temple of Edfu Texts</t>
        </is>
      </c>
      <c r="I56" s="2" t="inlineStr">
        <is>
          <t>Text corpus</t>
        </is>
      </c>
      <c r="J56" s="2" t="inlineStr">
        <is>
          <t>Temple inscriptions</t>
        </is>
      </c>
      <c r="K56" s="2" t="inlineStr">
        <is>
          <t>Creation</t>
        </is>
      </c>
      <c r="L56" s="2" t="inlineStr">
        <is>
          <t>Sacred geography</t>
        </is>
      </c>
      <c r="M56" s="2" t="inlineStr">
        <is>
          <t>Egypt</t>
        </is>
      </c>
      <c r="N56" s="2" t="inlineStr">
        <is>
          <t>Edfu</t>
        </is>
      </c>
      <c r="O56" s="2" t="inlineStr">
        <is>
          <t>Ptolemaic temple inscriptions preserving elaborate creation and temple-theology material.</t>
        </is>
      </c>
      <c r="P56" s="2" t="inlineStr">
        <is>
          <t>Frequently cited by alternative theorists for primeval-island and divine builder themes.</t>
        </is>
      </c>
      <c r="Q56" s="2" t="inlineStr">
        <is>
          <t>High</t>
        </is>
      </c>
      <c r="R56" s="2" t="inlineStr">
        <is>
          <t>Partial</t>
        </is>
      </c>
      <c r="S56" s="2" t="inlineStr">
        <is>
          <t>High</t>
        </is>
      </c>
      <c r="T56" s="2" t="inlineStr">
        <is>
          <t>TLA</t>
        </is>
      </c>
      <c r="U56" s="8" t="inlineStr">
        <is>
          <t>https://thesaurus-linguae-aegyptiae.de/</t>
        </is>
      </c>
      <c r="V56" s="2" t="inlineStr">
        <is>
          <t>TLA</t>
        </is>
      </c>
      <c r="W56" s="8" t="inlineStr">
        <is>
          <t>https://thesaurus-linguae-aegyptiae.de/</t>
        </is>
      </c>
      <c r="X56" s="2" t="inlineStr">
        <is>
          <t>British Museum Collection</t>
        </is>
      </c>
      <c r="Y56" s="8" t="inlineStr">
        <is>
          <t>https://www.britishmuseum.org/collection</t>
        </is>
      </c>
      <c r="Z56" s="2" t="inlineStr">
        <is>
          <t>UCL Digital Egypt</t>
        </is>
      </c>
      <c r="AA56" s="8" t="inlineStr">
        <is>
          <t>https://www.ucl.ac.uk/museums-static/digitalegypt/</t>
        </is>
      </c>
      <c r="AB56" s="2" t="inlineStr">
        <is>
          <t>UNESCO</t>
        </is>
      </c>
      <c r="AC56" s="8" t="inlineStr">
        <is>
          <t>https://whc.unesco.org/</t>
        </is>
      </c>
      <c r="AD56" s="2" t="inlineStr">
        <is>
          <t>Edfu texts</t>
        </is>
      </c>
      <c r="AE56" s="2" t="inlineStr">
        <is>
          <t>Later inscriptions preserving theological traditions; do not treat as Old Kingdom texts.</t>
        </is>
      </c>
      <c r="AF56" s="2" t="inlineStr">
        <is>
          <t>Primeval mound; divine builders</t>
        </is>
      </c>
      <c r="AG56" s="2" t="inlineStr">
        <is>
          <t>High</t>
        </is>
      </c>
      <c r="AH56" s="2" t="inlineStr">
        <is>
          <t>High</t>
        </is>
      </c>
      <c r="AI56" s="2" t="inlineStr"/>
      <c r="AJ56" t="inlineStr">
        <is>
          <t>https://thesaurus-linguae-aegyptiae.de/</t>
        </is>
      </c>
      <c r="AK56" t="inlineStr">
        <is>
          <t>https://thesaurus-linguae-aegyptiae.de/</t>
        </is>
      </c>
      <c r="AL56" t="inlineStr">
        <is>
          <t>https://www.britishmuseum.org/collection/search?keyword=Edfu+texts</t>
        </is>
      </c>
      <c r="AM56" t="inlineStr">
        <is>
          <t>https://www.ucl.ac.uk/museums-static/digitalegypt/</t>
        </is>
      </c>
      <c r="AN56" t="inlineStr">
        <is>
          <t>https://whc.unesco.org/en/search/?searchterm=Edfu+texts</t>
        </is>
      </c>
      <c r="AO56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56" t="inlineStr">
        <is>
          <t>Mixed: direct portal homepages plus search-result URLs where the portal exposes a public search endpoint.</t>
        </is>
      </c>
    </row>
    <row r="57">
      <c r="A57" s="2" t="n">
        <v>56</v>
      </c>
      <c r="B57" s="7" t="inlineStr">
        <is>
          <t>BCE_to_1AD</t>
        </is>
      </c>
      <c r="C57" s="2" t="inlineStr">
        <is>
          <t>Egypt</t>
        </is>
      </c>
      <c r="D57" s="2" t="inlineStr">
        <is>
          <t>Ancient Egypt</t>
        </is>
      </c>
      <c r="E57" s="2" t="n">
        <v>-100</v>
      </c>
      <c r="F57" s="2" t="n">
        <v>-50</v>
      </c>
      <c r="G57" s="2" t="inlineStr">
        <is>
          <t>c. 100 BCE to 50 BCE</t>
        </is>
      </c>
      <c r="H57" s="2" t="inlineStr">
        <is>
          <t>Dendera Zodiac and temple relief corpus</t>
        </is>
      </c>
      <c r="I57" s="2" t="inlineStr">
        <is>
          <t>Artifact corpus</t>
        </is>
      </c>
      <c r="J57" s="2" t="inlineStr">
        <is>
          <t>Temple reliefs</t>
        </is>
      </c>
      <c r="K57" s="2" t="inlineStr">
        <is>
          <t>Astronomy</t>
        </is>
      </c>
      <c r="L57" s="2" t="inlineStr">
        <is>
          <t>Ritual</t>
        </is>
      </c>
      <c r="M57" s="2" t="inlineStr">
        <is>
          <t>Egypt</t>
        </is>
      </c>
      <c r="N57" s="2" t="inlineStr">
        <is>
          <t>Dendera</t>
        </is>
      </c>
      <c r="O57" s="2" t="inlineStr">
        <is>
          <t>Temple reliefs and zodiac imagery from the Ptolemaic period.</t>
        </is>
      </c>
      <c r="P57" s="2" t="inlineStr">
        <is>
          <t>Often invoked in archaeoastronomy and lost-knowledge claims.</t>
        </is>
      </c>
      <c r="Q57" s="2" t="inlineStr">
        <is>
          <t>High</t>
        </is>
      </c>
      <c r="R57" s="2" t="inlineStr">
        <is>
          <t>Partial</t>
        </is>
      </c>
      <c r="S57" s="2" t="inlineStr">
        <is>
          <t>High</t>
        </is>
      </c>
      <c r="T57" s="2" t="inlineStr">
        <is>
          <t>UNESCO</t>
        </is>
      </c>
      <c r="U57" s="8" t="inlineStr">
        <is>
          <t>https://whc.unesco.org/</t>
        </is>
      </c>
      <c r="V57" s="2" t="inlineStr">
        <is>
          <t>UCL Digital Egypt</t>
        </is>
      </c>
      <c r="W57" s="8" t="inlineStr">
        <is>
          <t>https://www.ucl.ac.uk/museums-static/digitalegypt/</t>
        </is>
      </c>
      <c r="X57" s="2" t="inlineStr">
        <is>
          <t>British Museum Collection</t>
        </is>
      </c>
      <c r="Y57" s="8" t="inlineStr">
        <is>
          <t>https://www.britishmuseum.org/collection</t>
        </is>
      </c>
      <c r="Z57" s="2" t="inlineStr">
        <is>
          <t>UCL Digital Egypt</t>
        </is>
      </c>
      <c r="AA57" s="8" t="inlineStr">
        <is>
          <t>https://www.ucl.ac.uk/museums-static/digitalegypt/</t>
        </is>
      </c>
      <c r="AB57" s="2" t="inlineStr">
        <is>
          <t>UNESCO</t>
        </is>
      </c>
      <c r="AC57" s="8" t="inlineStr">
        <is>
          <t>https://whc.unesco.org/</t>
        </is>
      </c>
      <c r="AD57" s="2" t="inlineStr">
        <is>
          <t>Dendera zodiac</t>
        </is>
      </c>
      <c r="AE57" s="2" t="inlineStr">
        <is>
          <t>Keep date explicit; it is late, not primordial Egypt.</t>
        </is>
      </c>
      <c r="AF57" s="2" t="inlineStr">
        <is>
          <t>Astronomy; sacred ceilings</t>
        </is>
      </c>
      <c r="AG57" s="2" t="inlineStr">
        <is>
          <t>Medium</t>
        </is>
      </c>
      <c r="AH57" s="2" t="inlineStr">
        <is>
          <t>Medium</t>
        </is>
      </c>
      <c r="AI57" s="2" t="inlineStr"/>
      <c r="AJ57" t="inlineStr">
        <is>
          <t>https://whc.unesco.org/en/search/?searchterm=Dendera+zodiac</t>
        </is>
      </c>
      <c r="AK57" t="inlineStr">
        <is>
          <t>https://www.ucl.ac.uk/museums-static/digitalegypt/</t>
        </is>
      </c>
      <c r="AL57" t="inlineStr">
        <is>
          <t>https://www.britishmuseum.org/collection/search?keyword=Dendera+zodiac</t>
        </is>
      </c>
      <c r="AM57" t="inlineStr">
        <is>
          <t>https://www.ucl.ac.uk/museums-static/digitalegypt/</t>
        </is>
      </c>
      <c r="AN57" t="inlineStr">
        <is>
          <t>https://whc.unesco.org/en/search/?searchterm=Dendera+zodiac</t>
        </is>
      </c>
      <c r="AO57" t="inlineStr">
        <is>
          <t>1) Fact base: UNESCO. 2) Translation/text: UCL Digital Egypt. 3) Images/objects: British Museum Collection. 4) Context/explanation: UCL Digital Egypt. 5) Geography/maps: UNESCO. Use Suggested_Search_Term inside each portal.</t>
        </is>
      </c>
      <c r="AP57" t="inlineStr">
        <is>
          <t>Mixed: direct portal homepages plus search-result URLs where the portal exposes a public search endpoint.</t>
        </is>
      </c>
    </row>
    <row r="58">
      <c r="A58" s="2" t="n">
        <v>57</v>
      </c>
      <c r="B58" s="7" t="inlineStr">
        <is>
          <t>BCE_to_1AD</t>
        </is>
      </c>
      <c r="C58" s="2" t="inlineStr">
        <is>
          <t>Egypt</t>
        </is>
      </c>
      <c r="D58" s="2" t="inlineStr">
        <is>
          <t>Ancient Egypt</t>
        </is>
      </c>
      <c r="E58" s="2" t="n">
        <v>-700</v>
      </c>
      <c r="F58" s="2" t="n">
        <v>-650</v>
      </c>
      <c r="G58" s="2" t="inlineStr">
        <is>
          <t>c. 700 BCE to 650 BCE</t>
        </is>
      </c>
      <c r="H58" s="2" t="inlineStr">
        <is>
          <t>Shabaka Stone / Memphite Theology</t>
        </is>
      </c>
      <c r="I58" s="2" t="inlineStr">
        <is>
          <t>Inscription</t>
        </is>
      </c>
      <c r="J58" s="2" t="inlineStr">
        <is>
          <t>Stone inscription</t>
        </is>
      </c>
      <c r="K58" s="2" t="inlineStr">
        <is>
          <t>Creation</t>
        </is>
      </c>
      <c r="L58" s="2" t="inlineStr">
        <is>
          <t>Sacred speech</t>
        </is>
      </c>
      <c r="M58" s="2" t="inlineStr">
        <is>
          <t>Egypt</t>
        </is>
      </c>
      <c r="N58" s="2" t="inlineStr">
        <is>
          <t>Memphis tradition</t>
        </is>
      </c>
      <c r="O58" s="2" t="inlineStr">
        <is>
          <t>Text preserving Memphite theology centered on Ptah and creation by heart and tongue.</t>
        </is>
      </c>
      <c r="P58" s="2" t="inlineStr">
        <is>
          <t>Important for divine speech and creation-through-word comparisons.</t>
        </is>
      </c>
      <c r="Q58" s="2" t="inlineStr">
        <is>
          <t>High</t>
        </is>
      </c>
      <c r="R58" s="2" t="inlineStr">
        <is>
          <t>High</t>
        </is>
      </c>
      <c r="S58" s="2" t="inlineStr">
        <is>
          <t>Medium</t>
        </is>
      </c>
      <c r="T58" s="2" t="inlineStr">
        <is>
          <t>TLA</t>
        </is>
      </c>
      <c r="U58" s="8" t="inlineStr">
        <is>
          <t>https://thesaurus-linguae-aegyptiae.de/</t>
        </is>
      </c>
      <c r="V58" s="2" t="inlineStr">
        <is>
          <t>TLA</t>
        </is>
      </c>
      <c r="W58" s="8" t="inlineStr">
        <is>
          <t>https://thesaurus-linguae-aegyptiae.de/</t>
        </is>
      </c>
      <c r="X58" s="2" t="inlineStr">
        <is>
          <t>British Museum Collection</t>
        </is>
      </c>
      <c r="Y58" s="8" t="inlineStr">
        <is>
          <t>https://www.britishmuseum.org/collection</t>
        </is>
      </c>
      <c r="Z58" s="2" t="inlineStr">
        <is>
          <t>UCL Digital Egypt</t>
        </is>
      </c>
      <c r="AA58" s="8" t="inlineStr">
        <is>
          <t>https://www.ucl.ac.uk/museums-static/digitalegypt/</t>
        </is>
      </c>
      <c r="AB58" s="2" t="inlineStr">
        <is>
          <t>UNESCO</t>
        </is>
      </c>
      <c r="AC58" s="8" t="inlineStr">
        <is>
          <t>https://whc.unesco.org/</t>
        </is>
      </c>
      <c r="AD58" s="2" t="inlineStr">
        <is>
          <t>Shabaka Stone</t>
        </is>
      </c>
      <c r="AE58" s="2" t="inlineStr">
        <is>
          <t>Inscription claims to copy older source; preserve that distinction.</t>
        </is>
      </c>
      <c r="AF58" s="2" t="inlineStr">
        <is>
          <t>Logos creation; craft theology</t>
        </is>
      </c>
      <c r="AG58" s="2" t="inlineStr">
        <is>
          <t>Critical</t>
        </is>
      </c>
      <c r="AH58" s="2" t="inlineStr">
        <is>
          <t>High</t>
        </is>
      </c>
      <c r="AI58" s="2" t="inlineStr"/>
      <c r="AJ58" t="inlineStr">
        <is>
          <t>https://thesaurus-linguae-aegyptiae.de/</t>
        </is>
      </c>
      <c r="AK58" t="inlineStr">
        <is>
          <t>https://thesaurus-linguae-aegyptiae.de/</t>
        </is>
      </c>
      <c r="AL58" t="inlineStr">
        <is>
          <t>https://www.britishmuseum.org/collection/search?keyword=Shabaka+Stone</t>
        </is>
      </c>
      <c r="AM58" t="inlineStr">
        <is>
          <t>https://www.ucl.ac.uk/museums-static/digitalegypt/</t>
        </is>
      </c>
      <c r="AN58" t="inlineStr">
        <is>
          <t>https://whc.unesco.org/en/search/?searchterm=Shabaka+Stone</t>
        </is>
      </c>
      <c r="AO58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58" t="inlineStr">
        <is>
          <t>Mixed: direct portal homepages plus search-result URLs where the portal exposes a public search endpoint.</t>
        </is>
      </c>
    </row>
    <row r="59">
      <c r="A59" s="2" t="n">
        <v>58</v>
      </c>
      <c r="B59" s="7" t="inlineStr">
        <is>
          <t>BCE_to_1AD</t>
        </is>
      </c>
      <c r="C59" s="2" t="inlineStr">
        <is>
          <t>Egypt</t>
        </is>
      </c>
      <c r="D59" s="2" t="inlineStr">
        <is>
          <t>Ancient Egypt</t>
        </is>
      </c>
      <c r="E59" s="2" t="n">
        <v>-2400</v>
      </c>
      <c r="F59" s="2" t="n">
        <v>-2300</v>
      </c>
      <c r="G59" s="2" t="inlineStr">
        <is>
          <t>c. 2400 BCE to 2300 BCE</t>
        </is>
      </c>
      <c r="H59" s="2" t="inlineStr">
        <is>
          <t>Palermo Stone and royal annals fragments</t>
        </is>
      </c>
      <c r="I59" s="2" t="inlineStr">
        <is>
          <t>Inscription</t>
        </is>
      </c>
      <c r="J59" s="2" t="inlineStr">
        <is>
          <t>Stone annals</t>
        </is>
      </c>
      <c r="K59" s="2" t="inlineStr">
        <is>
          <t>Chronology</t>
        </is>
      </c>
      <c r="L59" s="2" t="inlineStr">
        <is>
          <t>Kingship</t>
        </is>
      </c>
      <c r="M59" s="2" t="inlineStr">
        <is>
          <t>Egypt</t>
        </is>
      </c>
      <c r="N59" s="2" t="inlineStr">
        <is>
          <t>Early Dynastic/Old Kingdom</t>
        </is>
      </c>
      <c r="O59" s="2" t="inlineStr">
        <is>
          <t>Fragments preserving annalistic king-list and event data for early rulers.</t>
        </is>
      </c>
      <c r="P59" s="2" t="inlineStr">
        <is>
          <t>One of the best chronological controls for early Egypt.</t>
        </is>
      </c>
      <c r="Q59" s="2" t="inlineStr">
        <is>
          <t>Medium</t>
        </is>
      </c>
      <c r="R59" s="2" t="inlineStr">
        <is>
          <t>High</t>
        </is>
      </c>
      <c r="S59" s="2" t="inlineStr">
        <is>
          <t>Medium</t>
        </is>
      </c>
      <c r="T59" s="2" t="inlineStr">
        <is>
          <t>TLA</t>
        </is>
      </c>
      <c r="U59" s="8" t="inlineStr">
        <is>
          <t>https://thesaurus-linguae-aegyptiae.de/</t>
        </is>
      </c>
      <c r="V59" s="2" t="inlineStr">
        <is>
          <t>TLA</t>
        </is>
      </c>
      <c r="W59" s="8" t="inlineStr">
        <is>
          <t>https://thesaurus-linguae-aegyptiae.de/</t>
        </is>
      </c>
      <c r="X59" s="2" t="inlineStr">
        <is>
          <t>British Museum Collection</t>
        </is>
      </c>
      <c r="Y59" s="8" t="inlineStr">
        <is>
          <t>https://www.britishmuseum.org/collection</t>
        </is>
      </c>
      <c r="Z59" s="2" t="inlineStr">
        <is>
          <t>UCL Digital Egypt</t>
        </is>
      </c>
      <c r="AA59" s="8" t="inlineStr">
        <is>
          <t>https://www.ucl.ac.uk/museums-static/digitalegypt/</t>
        </is>
      </c>
      <c r="AB59" s="2" t="inlineStr">
        <is>
          <t>UNESCO</t>
        </is>
      </c>
      <c r="AC59" s="8" t="inlineStr">
        <is>
          <t>https://whc.unesco.org/</t>
        </is>
      </c>
      <c r="AD59" s="2" t="inlineStr">
        <is>
          <t>Palermo Stone</t>
        </is>
      </c>
      <c r="AE59" s="2" t="inlineStr">
        <is>
          <t>Fragmentary; use modern reconstructions carefully.</t>
        </is>
      </c>
      <c r="AF59" s="2" t="inlineStr">
        <is>
          <t>Kingship; chronology</t>
        </is>
      </c>
      <c r="AG59" s="2" t="inlineStr">
        <is>
          <t>High</t>
        </is>
      </c>
      <c r="AH59" s="2" t="inlineStr">
        <is>
          <t>Medium</t>
        </is>
      </c>
      <c r="AI59" s="2" t="inlineStr"/>
      <c r="AJ59" t="inlineStr">
        <is>
          <t>https://thesaurus-linguae-aegyptiae.de/</t>
        </is>
      </c>
      <c r="AK59" t="inlineStr">
        <is>
          <t>https://thesaurus-linguae-aegyptiae.de/</t>
        </is>
      </c>
      <c r="AL59" t="inlineStr">
        <is>
          <t>https://www.britishmuseum.org/collection/search?keyword=Palermo+Stone</t>
        </is>
      </c>
      <c r="AM59" t="inlineStr">
        <is>
          <t>https://www.ucl.ac.uk/museums-static/digitalegypt/</t>
        </is>
      </c>
      <c r="AN59" t="inlineStr">
        <is>
          <t>https://whc.unesco.org/en/search/?searchterm=Palermo+Stone</t>
        </is>
      </c>
      <c r="AO59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59" t="inlineStr">
        <is>
          <t>Mixed: direct portal homepages plus search-result URLs where the portal exposes a public search endpoint.</t>
        </is>
      </c>
    </row>
    <row r="60">
      <c r="A60" s="2" t="n">
        <v>59</v>
      </c>
      <c r="B60" s="7" t="inlineStr">
        <is>
          <t>BCE_to_1AD</t>
        </is>
      </c>
      <c r="C60" s="2" t="inlineStr">
        <is>
          <t>Egypt</t>
        </is>
      </c>
      <c r="D60" s="2" t="inlineStr">
        <is>
          <t>Ancient Egypt</t>
        </is>
      </c>
      <c r="E60" s="2" t="n">
        <v>-1250</v>
      </c>
      <c r="F60" s="2" t="n">
        <v>-1200</v>
      </c>
      <c r="G60" s="2" t="inlineStr">
        <is>
          <t>c. 1250 BCE to 1200 BCE</t>
        </is>
      </c>
      <c r="H60" s="2" t="inlineStr">
        <is>
          <t>Turin Royal Canon</t>
        </is>
      </c>
      <c r="I60" s="2" t="inlineStr">
        <is>
          <t>Text</t>
        </is>
      </c>
      <c r="J60" s="2" t="inlineStr">
        <is>
          <t>Papyrus fragments</t>
        </is>
      </c>
      <c r="K60" s="2" t="inlineStr">
        <is>
          <t>King lists</t>
        </is>
      </c>
      <c r="L60" s="2" t="inlineStr">
        <is>
          <t>Chronology</t>
        </is>
      </c>
      <c r="M60" s="2" t="inlineStr">
        <is>
          <t>Egypt</t>
        </is>
      </c>
      <c r="N60" s="2" t="inlineStr">
        <is>
          <t>New Kingdom copy of king list tradition</t>
        </is>
      </c>
      <c r="O60" s="2" t="inlineStr">
        <is>
          <t>Fragmentary king list and regnal-year source.</t>
        </is>
      </c>
      <c r="P60" s="2" t="inlineStr">
        <is>
          <t>Core for comparing Egyptian dynastic memory with alternative king-list claims.</t>
        </is>
      </c>
      <c r="Q60" s="2" t="inlineStr">
        <is>
          <t>High</t>
        </is>
      </c>
      <c r="R60" s="2" t="inlineStr">
        <is>
          <t>Partial</t>
        </is>
      </c>
      <c r="S60" s="2" t="inlineStr">
        <is>
          <t>Medium</t>
        </is>
      </c>
      <c r="T60" s="2" t="inlineStr">
        <is>
          <t>TLA</t>
        </is>
      </c>
      <c r="U60" s="8" t="inlineStr">
        <is>
          <t>https://thesaurus-linguae-aegyptiae.de/</t>
        </is>
      </c>
      <c r="V60" s="2" t="inlineStr">
        <is>
          <t>TLA</t>
        </is>
      </c>
      <c r="W60" s="8" t="inlineStr">
        <is>
          <t>https://thesaurus-linguae-aegyptiae.de/</t>
        </is>
      </c>
      <c r="X60" s="2" t="inlineStr">
        <is>
          <t>British Museum Collection</t>
        </is>
      </c>
      <c r="Y60" s="8" t="inlineStr">
        <is>
          <t>https://www.britishmuseum.org/collection</t>
        </is>
      </c>
      <c r="Z60" s="2" t="inlineStr">
        <is>
          <t>UCL Digital Egypt</t>
        </is>
      </c>
      <c r="AA60" s="8" t="inlineStr">
        <is>
          <t>https://www.ucl.ac.uk/museums-static/digitalegypt/</t>
        </is>
      </c>
      <c r="AB60" s="2" t="inlineStr">
        <is>
          <t>UNESCO</t>
        </is>
      </c>
      <c r="AC60" s="8" t="inlineStr">
        <is>
          <t>https://whc.unesco.org/</t>
        </is>
      </c>
      <c r="AD60" s="2" t="inlineStr">
        <is>
          <t>Turin Canon</t>
        </is>
      </c>
      <c r="AE60" s="2" t="inlineStr">
        <is>
          <t>Highly fragmentary; reconstruction charts matter.</t>
        </is>
      </c>
      <c r="AF60" s="2" t="inlineStr">
        <is>
          <t>Kingship; chronology</t>
        </is>
      </c>
      <c r="AG60" s="2" t="inlineStr">
        <is>
          <t>High</t>
        </is>
      </c>
      <c r="AH60" s="2" t="inlineStr">
        <is>
          <t>Medium</t>
        </is>
      </c>
      <c r="AI60" s="2" t="inlineStr"/>
      <c r="AJ60" t="inlineStr">
        <is>
          <t>https://thesaurus-linguae-aegyptiae.de/</t>
        </is>
      </c>
      <c r="AK60" t="inlineStr">
        <is>
          <t>https://thesaurus-linguae-aegyptiae.de/</t>
        </is>
      </c>
      <c r="AL60" t="inlineStr">
        <is>
          <t>https://www.britishmuseum.org/collection/search?keyword=Turin+Canon</t>
        </is>
      </c>
      <c r="AM60" t="inlineStr">
        <is>
          <t>https://www.ucl.ac.uk/museums-static/digitalegypt/</t>
        </is>
      </c>
      <c r="AN60" t="inlineStr">
        <is>
          <t>https://whc.unesco.org/en/search/?searchterm=Turin+Canon</t>
        </is>
      </c>
      <c r="AO60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60" t="inlineStr">
        <is>
          <t>Mixed: direct portal homepages plus search-result URLs where the portal exposes a public search endpoint.</t>
        </is>
      </c>
    </row>
    <row r="61">
      <c r="A61" s="2" t="n">
        <v>60</v>
      </c>
      <c r="B61" s="7" t="inlineStr">
        <is>
          <t>BCE_to_1AD</t>
        </is>
      </c>
      <c r="C61" s="2" t="inlineStr">
        <is>
          <t>Egypt</t>
        </is>
      </c>
      <c r="D61" s="2" t="inlineStr">
        <is>
          <t>Ancient Egypt</t>
        </is>
      </c>
      <c r="E61" s="2" t="n">
        <v>-1300</v>
      </c>
      <c r="F61" s="2" t="n">
        <v>-1250</v>
      </c>
      <c r="G61" s="2" t="inlineStr">
        <is>
          <t>c. 1300 BCE to 1250 BCE</t>
        </is>
      </c>
      <c r="H61" s="2" t="inlineStr">
        <is>
          <t>Abydos King List</t>
        </is>
      </c>
      <c r="I61" s="2" t="inlineStr">
        <is>
          <t>Inscription</t>
        </is>
      </c>
      <c r="J61" s="2" t="inlineStr">
        <is>
          <t>Temple wall inscription</t>
        </is>
      </c>
      <c r="K61" s="2" t="inlineStr">
        <is>
          <t>King lists</t>
        </is>
      </c>
      <c r="L61" s="2" t="inlineStr">
        <is>
          <t>Dynastic memory</t>
        </is>
      </c>
      <c r="M61" s="2" t="inlineStr">
        <is>
          <t>Egypt</t>
        </is>
      </c>
      <c r="N61" s="2" t="inlineStr">
        <is>
          <t>Abydos</t>
        </is>
      </c>
      <c r="O61" s="2" t="inlineStr">
        <is>
          <t>King list carved on Seti I's temple listing selected predecessors.</t>
        </is>
      </c>
      <c r="P61" s="2" t="inlineStr">
        <is>
          <t>A key curated memory text showing what Egypt chose to remember.</t>
        </is>
      </c>
      <c r="Q61" s="2" t="inlineStr">
        <is>
          <t>High</t>
        </is>
      </c>
      <c r="R61" s="2" t="inlineStr">
        <is>
          <t>High</t>
        </is>
      </c>
      <c r="S61" s="2" t="inlineStr">
        <is>
          <t>High</t>
        </is>
      </c>
      <c r="T61" s="2" t="inlineStr">
        <is>
          <t>TLA</t>
        </is>
      </c>
      <c r="U61" s="8" t="inlineStr">
        <is>
          <t>https://thesaurus-linguae-aegyptiae.de/</t>
        </is>
      </c>
      <c r="V61" s="2" t="inlineStr">
        <is>
          <t>TLA</t>
        </is>
      </c>
      <c r="W61" s="8" t="inlineStr">
        <is>
          <t>https://thesaurus-linguae-aegyptiae.de/</t>
        </is>
      </c>
      <c r="X61" s="2" t="inlineStr">
        <is>
          <t>British Museum Collection</t>
        </is>
      </c>
      <c r="Y61" s="8" t="inlineStr">
        <is>
          <t>https://www.britishmuseum.org/collection</t>
        </is>
      </c>
      <c r="Z61" s="2" t="inlineStr">
        <is>
          <t>UCL Digital Egypt</t>
        </is>
      </c>
      <c r="AA61" s="8" t="inlineStr">
        <is>
          <t>https://www.ucl.ac.uk/museums-static/digitalegypt/</t>
        </is>
      </c>
      <c r="AB61" s="2" t="inlineStr">
        <is>
          <t>UNESCO</t>
        </is>
      </c>
      <c r="AC61" s="8" t="inlineStr">
        <is>
          <t>https://whc.unesco.org/</t>
        </is>
      </c>
      <c r="AD61" s="2" t="inlineStr">
        <is>
          <t>Abydos King List</t>
        </is>
      </c>
      <c r="AE61" s="2" t="inlineStr">
        <is>
          <t>Selective and ideological rather than exhaustive.</t>
        </is>
      </c>
      <c r="AF61" s="2" t="inlineStr">
        <is>
          <t>Dynastic memory; legitimation</t>
        </is>
      </c>
      <c r="AG61" s="2" t="inlineStr">
        <is>
          <t>High</t>
        </is>
      </c>
      <c r="AH61" s="2" t="inlineStr">
        <is>
          <t>Medium</t>
        </is>
      </c>
      <c r="AI61" s="2" t="inlineStr"/>
      <c r="AJ61" t="inlineStr">
        <is>
          <t>https://thesaurus-linguae-aegyptiae.de/</t>
        </is>
      </c>
      <c r="AK61" t="inlineStr">
        <is>
          <t>https://thesaurus-linguae-aegyptiae.de/</t>
        </is>
      </c>
      <c r="AL61" t="inlineStr">
        <is>
          <t>https://www.britishmuseum.org/collection/search?keyword=Abydos+King+List</t>
        </is>
      </c>
      <c r="AM61" t="inlineStr">
        <is>
          <t>https://www.ucl.ac.uk/museums-static/digitalegypt/</t>
        </is>
      </c>
      <c r="AN61" t="inlineStr">
        <is>
          <t>https://whc.unesco.org/en/search/?searchterm=Abydos+King+List</t>
        </is>
      </c>
      <c r="AO61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61" t="inlineStr">
        <is>
          <t>Mixed: direct portal homepages plus search-result URLs where the portal exposes a public search endpoint.</t>
        </is>
      </c>
    </row>
    <row r="62">
      <c r="A62" s="2" t="n">
        <v>61</v>
      </c>
      <c r="B62" s="7" t="inlineStr">
        <is>
          <t>BCE_to_1AD</t>
        </is>
      </c>
      <c r="C62" s="2" t="inlineStr">
        <is>
          <t>Egypt</t>
        </is>
      </c>
      <c r="D62" s="2" t="inlineStr">
        <is>
          <t>Ancient Egypt</t>
        </is>
      </c>
      <c r="E62" s="2" t="n">
        <v>-2600</v>
      </c>
      <c r="F62" s="2" t="n">
        <v>-2500</v>
      </c>
      <c r="G62" s="2" t="inlineStr">
        <is>
          <t>c. 2600 BCE to 2500 BCE</t>
        </is>
      </c>
      <c r="H62" s="2" t="inlineStr">
        <is>
          <t>Giza Pyramid Complex</t>
        </is>
      </c>
      <c r="I62" s="2" t="inlineStr">
        <is>
          <t>Site</t>
        </is>
      </c>
      <c r="J62" s="2" t="inlineStr">
        <is>
          <t>Archaeology</t>
        </is>
      </c>
      <c r="K62" s="2" t="inlineStr">
        <is>
          <t>Monumentality</t>
        </is>
      </c>
      <c r="L62" s="2" t="inlineStr">
        <is>
          <t>Kingship</t>
        </is>
      </c>
      <c r="M62" s="2" t="inlineStr">
        <is>
          <t>Egypt</t>
        </is>
      </c>
      <c r="N62" s="2" t="inlineStr">
        <is>
          <t>Giza plateau</t>
        </is>
      </c>
      <c r="O62" s="2" t="inlineStr">
        <is>
          <t>Royal pyramid and associated monument landscape of the Fourth Dynasty.</t>
        </is>
      </c>
      <c r="P62" s="2" t="inlineStr">
        <is>
          <t>Central to both mainstream and alternative ancient-civilization debate.</t>
        </is>
      </c>
      <c r="Q62" s="2" t="inlineStr">
        <is>
          <t>High</t>
        </is>
      </c>
      <c r="R62" s="2" t="inlineStr">
        <is>
          <t>Not applicable</t>
        </is>
      </c>
      <c r="S62" s="2" t="inlineStr">
        <is>
          <t>High</t>
        </is>
      </c>
      <c r="T62" s="2" t="inlineStr">
        <is>
          <t>UNESCO</t>
        </is>
      </c>
      <c r="U62" s="8" t="inlineStr">
        <is>
          <t>https://whc.unesco.org/</t>
        </is>
      </c>
      <c r="V62" s="2" t="inlineStr">
        <is>
          <t>UCL Digital Egypt</t>
        </is>
      </c>
      <c r="W62" s="8" t="inlineStr">
        <is>
          <t>https://www.ucl.ac.uk/museums-static/digitalegypt/</t>
        </is>
      </c>
      <c r="X62" s="2" t="inlineStr">
        <is>
          <t>British Museum Collection</t>
        </is>
      </c>
      <c r="Y62" s="8" t="inlineStr">
        <is>
          <t>https://www.britishmuseum.org/collection</t>
        </is>
      </c>
      <c r="Z62" s="2" t="inlineStr">
        <is>
          <t>UCL Digital Egypt</t>
        </is>
      </c>
      <c r="AA62" s="8" t="inlineStr">
        <is>
          <t>https://www.ucl.ac.uk/museums-static/digitalegypt/</t>
        </is>
      </c>
      <c r="AB62" s="2" t="inlineStr">
        <is>
          <t>UNESCO</t>
        </is>
      </c>
      <c r="AC62" s="8" t="inlineStr">
        <is>
          <t>https://whc.unesco.org/</t>
        </is>
      </c>
      <c r="AD62" s="2" t="inlineStr">
        <is>
          <t>Giza UNESCO</t>
        </is>
      </c>
      <c r="AE62" s="2" t="inlineStr">
        <is>
          <t>Separate quarrying, labor, and chronology evidence from speculation.</t>
        </is>
      </c>
      <c r="AF62" s="2" t="inlineStr">
        <is>
          <t>Monumentality; engineering</t>
        </is>
      </c>
      <c r="AG62" s="2" t="inlineStr">
        <is>
          <t>Critical</t>
        </is>
      </c>
      <c r="AH62" s="2" t="inlineStr">
        <is>
          <t>High</t>
        </is>
      </c>
      <c r="AI62" s="2" t="inlineStr"/>
      <c r="AJ62" t="inlineStr">
        <is>
          <t>https://whc.unesco.org/en/search/?searchterm=Giza+UNESCO</t>
        </is>
      </c>
      <c r="AK62" t="inlineStr">
        <is>
          <t>https://www.ucl.ac.uk/museums-static/digitalegypt/</t>
        </is>
      </c>
      <c r="AL62" t="inlineStr">
        <is>
          <t>https://www.britishmuseum.org/collection/search?keyword=Giza+UNESCO</t>
        </is>
      </c>
      <c r="AM62" t="inlineStr">
        <is>
          <t>https://www.ucl.ac.uk/museums-static/digitalegypt/</t>
        </is>
      </c>
      <c r="AN62" t="inlineStr">
        <is>
          <t>https://whc.unesco.org/en/search/?searchterm=Giza+UNESCO</t>
        </is>
      </c>
      <c r="AO62" t="inlineStr">
        <is>
          <t>1) Fact base: UNESCO. 2) Translation/text: UCL Digital Egypt. 3) Images/objects: British Museum Collection. 4) Context/explanation: UCL Digital Egypt. 5) Geography/maps: UNESCO. Use Suggested_Search_Term inside each portal.</t>
        </is>
      </c>
      <c r="AP62" t="inlineStr">
        <is>
          <t>Mixed: direct portal homepages plus search-result URLs where the portal exposes a public search endpoint.</t>
        </is>
      </c>
    </row>
    <row r="63">
      <c r="A63" s="2" t="n">
        <v>62</v>
      </c>
      <c r="B63" s="7" t="inlineStr">
        <is>
          <t>BCE_to_1AD</t>
        </is>
      </c>
      <c r="C63" s="2" t="inlineStr">
        <is>
          <t>Egypt</t>
        </is>
      </c>
      <c r="D63" s="2" t="inlineStr">
        <is>
          <t>Ancient Egypt</t>
        </is>
      </c>
      <c r="E63" s="2" t="n">
        <v>-2700</v>
      </c>
      <c r="F63" s="2" t="n">
        <v>-2200</v>
      </c>
      <c r="G63" s="2" t="inlineStr">
        <is>
          <t>c. 2700 BCE to 2200 BCE</t>
        </is>
      </c>
      <c r="H63" s="2" t="inlineStr">
        <is>
          <t>Saqqara</t>
        </is>
      </c>
      <c r="I63" s="2" t="inlineStr">
        <is>
          <t>Site</t>
        </is>
      </c>
      <c r="J63" s="2" t="inlineStr">
        <is>
          <t>Archaeology</t>
        </is>
      </c>
      <c r="K63" s="2" t="inlineStr">
        <is>
          <t>Necropolis</t>
        </is>
      </c>
      <c r="L63" s="2" t="inlineStr">
        <is>
          <t>Kingship</t>
        </is>
      </c>
      <c r="M63" s="2" t="inlineStr">
        <is>
          <t>Egypt</t>
        </is>
      </c>
      <c r="N63" s="2" t="inlineStr">
        <is>
          <t>Memphis necropolis</t>
        </is>
      </c>
      <c r="O63" s="2" t="inlineStr">
        <is>
          <t>Major funerary landscape including the Step Pyramid and many tomb texts.</t>
        </is>
      </c>
      <c r="P63" s="2" t="inlineStr">
        <is>
          <t>A foundational necropolis for Old Kingdom development.</t>
        </is>
      </c>
      <c r="Q63" s="2" t="inlineStr">
        <is>
          <t>Medium</t>
        </is>
      </c>
      <c r="R63" s="2" t="inlineStr">
        <is>
          <t>Not applicable</t>
        </is>
      </c>
      <c r="S63" s="2" t="inlineStr">
        <is>
          <t>High</t>
        </is>
      </c>
      <c r="T63" s="2" t="inlineStr">
        <is>
          <t>UNESCO</t>
        </is>
      </c>
      <c r="U63" s="8" t="inlineStr">
        <is>
          <t>https://whc.unesco.org/</t>
        </is>
      </c>
      <c r="V63" s="2" t="inlineStr">
        <is>
          <t>UCL Digital Egypt</t>
        </is>
      </c>
      <c r="W63" s="8" t="inlineStr">
        <is>
          <t>https://www.ucl.ac.uk/museums-static/digitalegypt/</t>
        </is>
      </c>
      <c r="X63" s="2" t="inlineStr">
        <is>
          <t>British Museum Collection</t>
        </is>
      </c>
      <c r="Y63" s="8" t="inlineStr">
        <is>
          <t>https://www.britishmuseum.org/collection</t>
        </is>
      </c>
      <c r="Z63" s="2" t="inlineStr">
        <is>
          <t>UCL Digital Egypt</t>
        </is>
      </c>
      <c r="AA63" s="8" t="inlineStr">
        <is>
          <t>https://www.ucl.ac.uk/museums-static/digitalegypt/</t>
        </is>
      </c>
      <c r="AB63" s="2" t="inlineStr">
        <is>
          <t>UNESCO</t>
        </is>
      </c>
      <c r="AC63" s="8" t="inlineStr">
        <is>
          <t>https://whc.unesco.org/</t>
        </is>
      </c>
      <c r="AD63" s="2" t="inlineStr">
        <is>
          <t>Saqqara UNESCO</t>
        </is>
      </c>
      <c r="AE63" s="2" t="inlineStr">
        <is>
          <t>Huge site; use sub-sites and periodization.</t>
        </is>
      </c>
      <c r="AF63" s="2" t="inlineStr">
        <is>
          <t>Pyramid evolution; funerary culture</t>
        </is>
      </c>
      <c r="AG63" s="2" t="inlineStr">
        <is>
          <t>High</t>
        </is>
      </c>
      <c r="AH63" s="2" t="inlineStr">
        <is>
          <t>High</t>
        </is>
      </c>
      <c r="AI63" s="2" t="inlineStr"/>
      <c r="AJ63" t="inlineStr">
        <is>
          <t>https://whc.unesco.org/en/search/?searchterm=Saqqara+UNESCO</t>
        </is>
      </c>
      <c r="AK63" t="inlineStr">
        <is>
          <t>https://www.ucl.ac.uk/museums-static/digitalegypt/</t>
        </is>
      </c>
      <c r="AL63" t="inlineStr">
        <is>
          <t>https://www.britishmuseum.org/collection/search?keyword=Saqqara+UNESCO</t>
        </is>
      </c>
      <c r="AM63" t="inlineStr">
        <is>
          <t>https://www.ucl.ac.uk/museums-static/digitalegypt/</t>
        </is>
      </c>
      <c r="AN63" t="inlineStr">
        <is>
          <t>https://whc.unesco.org/en/search/?searchterm=Saqqara+UNESCO</t>
        </is>
      </c>
      <c r="AO63" t="inlineStr">
        <is>
          <t>1) Fact base: UNESCO. 2) Translation/text: UCL Digital Egypt. 3) Images/objects: British Museum Collection. 4) Context/explanation: UCL Digital Egypt. 5) Geography/maps: UNESCO. Use Suggested_Search_Term inside each portal.</t>
        </is>
      </c>
      <c r="AP63" t="inlineStr">
        <is>
          <t>Mixed: direct portal homepages plus search-result URLs where the portal exposes a public search endpoint.</t>
        </is>
      </c>
    </row>
    <row r="64">
      <c r="A64" s="2" t="n">
        <v>63</v>
      </c>
      <c r="B64" s="7" t="inlineStr">
        <is>
          <t>BCE_to_1AD</t>
        </is>
      </c>
      <c r="C64" s="2" t="inlineStr">
        <is>
          <t>Egypt</t>
        </is>
      </c>
      <c r="D64" s="2" t="inlineStr">
        <is>
          <t>Ancient Egypt</t>
        </is>
      </c>
      <c r="E64" s="2" t="n">
        <v>-3000</v>
      </c>
      <c r="F64" s="2" t="n">
        <v>-100</v>
      </c>
      <c r="G64" s="2" t="inlineStr">
        <is>
          <t>c. 3000 BCE to 100 BCE</t>
        </is>
      </c>
      <c r="H64" s="2" t="inlineStr">
        <is>
          <t>Abydos</t>
        </is>
      </c>
      <c r="I64" s="2" t="inlineStr">
        <is>
          <t>Site</t>
        </is>
      </c>
      <c r="J64" s="2" t="inlineStr">
        <is>
          <t>Archaeology</t>
        </is>
      </c>
      <c r="K64" s="2" t="inlineStr">
        <is>
          <t>Sacred geography</t>
        </is>
      </c>
      <c r="L64" s="2" t="inlineStr">
        <is>
          <t>Kingship</t>
        </is>
      </c>
      <c r="M64" s="2" t="inlineStr">
        <is>
          <t>Egypt</t>
        </is>
      </c>
      <c r="N64" s="2" t="inlineStr">
        <is>
          <t>Upper Egypt</t>
        </is>
      </c>
      <c r="O64" s="2" t="inlineStr">
        <is>
          <t>Royal burial and cult center central to Osiris tradition.</t>
        </is>
      </c>
      <c r="P64" s="2" t="inlineStr">
        <is>
          <t>Connects archaeology, kingship, and sacred mythic geography.</t>
        </is>
      </c>
      <c r="Q64" s="2" t="inlineStr">
        <is>
          <t>High</t>
        </is>
      </c>
      <c r="R64" s="2" t="inlineStr">
        <is>
          <t>Not applicable</t>
        </is>
      </c>
      <c r="S64" s="2" t="inlineStr">
        <is>
          <t>High</t>
        </is>
      </c>
      <c r="T64" s="2" t="inlineStr">
        <is>
          <t>UNESCO</t>
        </is>
      </c>
      <c r="U64" s="8" t="inlineStr">
        <is>
          <t>https://whc.unesco.org/</t>
        </is>
      </c>
      <c r="V64" s="2" t="inlineStr">
        <is>
          <t>UCL Digital Egypt</t>
        </is>
      </c>
      <c r="W64" s="8" t="inlineStr">
        <is>
          <t>https://www.ucl.ac.uk/museums-static/digitalegypt/</t>
        </is>
      </c>
      <c r="X64" s="2" t="inlineStr">
        <is>
          <t>British Museum Collection</t>
        </is>
      </c>
      <c r="Y64" s="8" t="inlineStr">
        <is>
          <t>https://www.britishmuseum.org/collection</t>
        </is>
      </c>
      <c r="Z64" s="2" t="inlineStr">
        <is>
          <t>UCL Digital Egypt</t>
        </is>
      </c>
      <c r="AA64" s="8" t="inlineStr">
        <is>
          <t>https://www.ucl.ac.uk/museums-static/digitalegypt/</t>
        </is>
      </c>
      <c r="AB64" s="2" t="inlineStr">
        <is>
          <t>UNESCO</t>
        </is>
      </c>
      <c r="AC64" s="8" t="inlineStr">
        <is>
          <t>https://whc.unesco.org/</t>
        </is>
      </c>
      <c r="AD64" s="2" t="inlineStr">
        <is>
          <t>Abydos temple Osiris</t>
        </is>
      </c>
      <c r="AE64" s="2" t="inlineStr">
        <is>
          <t>Good example of long-lived sacred place continuity.</t>
        </is>
      </c>
      <c r="AF64" s="2" t="inlineStr">
        <is>
          <t>Osiris; ancestral burial</t>
        </is>
      </c>
      <c r="AG64" s="2" t="inlineStr">
        <is>
          <t>High</t>
        </is>
      </c>
      <c r="AH64" s="2" t="inlineStr">
        <is>
          <t>High</t>
        </is>
      </c>
      <c r="AI64" s="2" t="inlineStr"/>
      <c r="AJ64" t="inlineStr">
        <is>
          <t>https://whc.unesco.org/en/search/?searchterm=Abydos+temple+Osiris</t>
        </is>
      </c>
      <c r="AK64" t="inlineStr">
        <is>
          <t>https://www.ucl.ac.uk/museums-static/digitalegypt/</t>
        </is>
      </c>
      <c r="AL64" t="inlineStr">
        <is>
          <t>https://www.britishmuseum.org/collection/search?keyword=Abydos+temple+Osiris</t>
        </is>
      </c>
      <c r="AM64" t="inlineStr">
        <is>
          <t>https://www.ucl.ac.uk/museums-static/digitalegypt/</t>
        </is>
      </c>
      <c r="AN64" t="inlineStr">
        <is>
          <t>https://whc.unesco.org/en/search/?searchterm=Abydos+temple+Osiris</t>
        </is>
      </c>
      <c r="AO64" t="inlineStr">
        <is>
          <t>1) Fact base: UNESCO. 2) Translation/text: UCL Digital Egypt. 3) Images/objects: British Museum Collection. 4) Context/explanation: UCL Digital Egypt. 5) Geography/maps: UNESCO. Use Suggested_Search_Term inside each portal.</t>
        </is>
      </c>
      <c r="AP64" t="inlineStr">
        <is>
          <t>Mixed: direct portal homepages plus search-result URLs where the portal exposes a public search endpoint.</t>
        </is>
      </c>
    </row>
    <row r="65">
      <c r="A65" s="2" t="n">
        <v>64</v>
      </c>
      <c r="B65" s="7" t="inlineStr">
        <is>
          <t>BCE_to_1AD</t>
        </is>
      </c>
      <c r="C65" s="2" t="inlineStr">
        <is>
          <t>Egypt</t>
        </is>
      </c>
      <c r="D65" s="2" t="inlineStr">
        <is>
          <t>Ancient Egypt</t>
        </is>
      </c>
      <c r="E65" s="2" t="n">
        <v>-2500</v>
      </c>
      <c r="F65" s="2" t="n">
        <v>-30</v>
      </c>
      <c r="G65" s="2" t="inlineStr">
        <is>
          <t>c. 2500 BCE to 30 BCE</t>
        </is>
      </c>
      <c r="H65" s="2" t="inlineStr">
        <is>
          <t>Heliopolitan creation tradition</t>
        </is>
      </c>
      <c r="I65" s="2" t="inlineStr">
        <is>
          <t>Text tradition</t>
        </is>
      </c>
      <c r="J65" s="2" t="inlineStr">
        <is>
          <t>Distributed corpus</t>
        </is>
      </c>
      <c r="K65" s="2" t="inlineStr">
        <is>
          <t>Creation</t>
        </is>
      </c>
      <c r="L65" s="2" t="inlineStr">
        <is>
          <t>Solar theology</t>
        </is>
      </c>
      <c r="M65" s="2" t="inlineStr">
        <is>
          <t>Egypt</t>
        </is>
      </c>
      <c r="N65" s="2" t="inlineStr">
        <is>
          <t>Heliopolis</t>
        </is>
      </c>
      <c r="O65" s="2" t="inlineStr">
        <is>
          <t>Cluster of creation ideas around Atum, Ra, and the Ennead preserved across texts.</t>
        </is>
      </c>
      <c r="P65" s="2" t="inlineStr">
        <is>
          <t>Important baseline for Egyptian creation-system comparison.</t>
        </is>
      </c>
      <c r="Q65" s="2" t="inlineStr">
        <is>
          <t>Medium</t>
        </is>
      </c>
      <c r="R65" s="2" t="inlineStr">
        <is>
          <t>Partial</t>
        </is>
      </c>
      <c r="S65" s="2" t="inlineStr">
        <is>
          <t>Low</t>
        </is>
      </c>
      <c r="T65" s="2" t="inlineStr">
        <is>
          <t>TLA</t>
        </is>
      </c>
      <c r="U65" s="8" t="inlineStr">
        <is>
          <t>https://thesaurus-linguae-aegyptiae.de/</t>
        </is>
      </c>
      <c r="V65" s="2" t="inlineStr">
        <is>
          <t>TLA</t>
        </is>
      </c>
      <c r="W65" s="8" t="inlineStr">
        <is>
          <t>https://thesaurus-linguae-aegyptiae.de/</t>
        </is>
      </c>
      <c r="X65" s="2" t="inlineStr">
        <is>
          <t>British Museum Collection</t>
        </is>
      </c>
      <c r="Y65" s="8" t="inlineStr">
        <is>
          <t>https://www.britishmuseum.org/collection</t>
        </is>
      </c>
      <c r="Z65" s="2" t="inlineStr">
        <is>
          <t>UCL Digital Egypt</t>
        </is>
      </c>
      <c r="AA65" s="8" t="inlineStr">
        <is>
          <t>https://www.ucl.ac.uk/museums-static/digitalegypt/</t>
        </is>
      </c>
      <c r="AB65" s="2" t="inlineStr">
        <is>
          <t>UNESCO</t>
        </is>
      </c>
      <c r="AC65" s="8" t="inlineStr">
        <is>
          <t>https://whc.unesco.org/</t>
        </is>
      </c>
      <c r="AD65" s="2" t="inlineStr">
        <is>
          <t>Heliopolitan cosmogony</t>
        </is>
      </c>
      <c r="AE65" s="2" t="inlineStr">
        <is>
          <t>No single canonical source; build from multiple text witnesses.</t>
        </is>
      </c>
      <c r="AF65" s="2" t="inlineStr">
        <is>
          <t>Creation; primeval mound</t>
        </is>
      </c>
      <c r="AG65" s="2" t="inlineStr">
        <is>
          <t>High</t>
        </is>
      </c>
      <c r="AH65" s="2" t="inlineStr">
        <is>
          <t>High</t>
        </is>
      </c>
      <c r="AI65" s="2" t="inlineStr"/>
      <c r="AJ65" t="inlineStr">
        <is>
          <t>https://thesaurus-linguae-aegyptiae.de/</t>
        </is>
      </c>
      <c r="AK65" t="inlineStr">
        <is>
          <t>https://thesaurus-linguae-aegyptiae.de/</t>
        </is>
      </c>
      <c r="AL65" t="inlineStr">
        <is>
          <t>https://www.britishmuseum.org/collection/search?keyword=Heliopolitan+cosmogony</t>
        </is>
      </c>
      <c r="AM65" t="inlineStr">
        <is>
          <t>https://www.ucl.ac.uk/museums-static/digitalegypt/</t>
        </is>
      </c>
      <c r="AN65" t="inlineStr">
        <is>
          <t>https://whc.unesco.org/en/search/?searchterm=Heliopolitan+cosmogony</t>
        </is>
      </c>
      <c r="AO65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65" t="inlineStr">
        <is>
          <t>Mixed: direct portal homepages plus search-result URLs where the portal exposes a public search endpoint.</t>
        </is>
      </c>
    </row>
    <row r="66">
      <c r="A66" s="2" t="n">
        <v>65</v>
      </c>
      <c r="B66" s="7" t="inlineStr">
        <is>
          <t>BCE_to_1AD</t>
        </is>
      </c>
      <c r="C66" s="2" t="inlineStr">
        <is>
          <t>Egypt</t>
        </is>
      </c>
      <c r="D66" s="2" t="inlineStr">
        <is>
          <t>Ancient Egypt</t>
        </is>
      </c>
      <c r="E66" s="2" t="n">
        <v>-1600</v>
      </c>
      <c r="F66" s="2" t="n">
        <v>-1100</v>
      </c>
      <c r="G66" s="2" t="inlineStr">
        <is>
          <t>c. 1600 BCE to 1100 BCE</t>
        </is>
      </c>
      <c r="H66" s="2" t="inlineStr">
        <is>
          <t>Westcar Papyrus</t>
        </is>
      </c>
      <c r="I66" s="2" t="inlineStr">
        <is>
          <t>Text</t>
        </is>
      </c>
      <c r="J66" s="2" t="inlineStr">
        <is>
          <t>Papyrus</t>
        </is>
      </c>
      <c r="K66" s="2" t="inlineStr">
        <is>
          <t>Wonder tales</t>
        </is>
      </c>
      <c r="L66" s="2" t="inlineStr">
        <is>
          <t>Royal memory</t>
        </is>
      </c>
      <c r="M66" s="2" t="inlineStr">
        <is>
          <t>Egypt</t>
        </is>
      </c>
      <c r="N66" s="2" t="inlineStr">
        <is>
          <t>Middle Kingdom copy / Old Kingdom setting</t>
        </is>
      </c>
      <c r="O66" s="2" t="inlineStr">
        <is>
          <t>Collection of stories about magicians and kings at Khufu's court.</t>
        </is>
      </c>
      <c r="P66" s="2" t="inlineStr">
        <is>
          <t>Useful for myth-history blending and royal wonder narratives.</t>
        </is>
      </c>
      <c r="Q66" s="2" t="inlineStr">
        <is>
          <t>Medium</t>
        </is>
      </c>
      <c r="R66" s="2" t="inlineStr">
        <is>
          <t>High</t>
        </is>
      </c>
      <c r="S66" s="2" t="inlineStr">
        <is>
          <t>Medium</t>
        </is>
      </c>
      <c r="T66" s="2" t="inlineStr">
        <is>
          <t>TLA</t>
        </is>
      </c>
      <c r="U66" s="8" t="inlineStr">
        <is>
          <t>https://thesaurus-linguae-aegyptiae.de/</t>
        </is>
      </c>
      <c r="V66" s="2" t="inlineStr">
        <is>
          <t>TLA</t>
        </is>
      </c>
      <c r="W66" s="8" t="inlineStr">
        <is>
          <t>https://thesaurus-linguae-aegyptiae.de/</t>
        </is>
      </c>
      <c r="X66" s="2" t="inlineStr">
        <is>
          <t>British Museum Collection</t>
        </is>
      </c>
      <c r="Y66" s="8" t="inlineStr">
        <is>
          <t>https://www.britishmuseum.org/collection</t>
        </is>
      </c>
      <c r="Z66" s="2" t="inlineStr">
        <is>
          <t>UCL Digital Egypt</t>
        </is>
      </c>
      <c r="AA66" s="8" t="inlineStr">
        <is>
          <t>https://www.ucl.ac.uk/museums-static/digitalegypt/</t>
        </is>
      </c>
      <c r="AB66" s="2" t="inlineStr">
        <is>
          <t>UNESCO</t>
        </is>
      </c>
      <c r="AC66" s="8" t="inlineStr">
        <is>
          <t>https://whc.unesco.org/</t>
        </is>
      </c>
      <c r="AD66" s="2" t="inlineStr">
        <is>
          <t>Westcar Papyrus</t>
        </is>
      </c>
      <c r="AE66" s="2" t="inlineStr">
        <is>
          <t>Narrative literature, not direct history.</t>
        </is>
      </c>
      <c r="AF66" s="2" t="inlineStr">
        <is>
          <t>Magic; royal legitimacy</t>
        </is>
      </c>
      <c r="AG66" s="2" t="inlineStr">
        <is>
          <t>Medium</t>
        </is>
      </c>
      <c r="AH66" s="2" t="inlineStr">
        <is>
          <t>Medium</t>
        </is>
      </c>
      <c r="AI66" s="2" t="inlineStr"/>
      <c r="AJ66" t="inlineStr">
        <is>
          <t>https://thesaurus-linguae-aegyptiae.de/</t>
        </is>
      </c>
      <c r="AK66" t="inlineStr">
        <is>
          <t>https://thesaurus-linguae-aegyptiae.de/</t>
        </is>
      </c>
      <c r="AL66" t="inlineStr">
        <is>
          <t>https://www.britishmuseum.org/collection/search?keyword=Westcar+Papyrus</t>
        </is>
      </c>
      <c r="AM66" t="inlineStr">
        <is>
          <t>https://www.ucl.ac.uk/museums-static/digitalegypt/</t>
        </is>
      </c>
      <c r="AN66" t="inlineStr">
        <is>
          <t>https://whc.unesco.org/en/search/?searchterm=Westcar+Papyrus</t>
        </is>
      </c>
      <c r="AO66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66" t="inlineStr">
        <is>
          <t>Mixed: direct portal homepages plus search-result URLs where the portal exposes a public search endpoint.</t>
        </is>
      </c>
    </row>
    <row r="67">
      <c r="A67" s="2" t="n">
        <v>66</v>
      </c>
      <c r="B67" s="7" t="inlineStr">
        <is>
          <t>BCE_to_1AD</t>
        </is>
      </c>
      <c r="C67" s="2" t="inlineStr">
        <is>
          <t>Egypt</t>
        </is>
      </c>
      <c r="D67" s="2" t="inlineStr">
        <is>
          <t>Ancient Egypt</t>
        </is>
      </c>
      <c r="E67" s="2" t="n">
        <v>-1900</v>
      </c>
      <c r="F67" s="2" t="n">
        <v>-1800</v>
      </c>
      <c r="G67" s="2" t="inlineStr">
        <is>
          <t>c. 1900 BCE to 1800 BCE</t>
        </is>
      </c>
      <c r="H67" s="2" t="inlineStr">
        <is>
          <t>Tale of Sinuhe</t>
        </is>
      </c>
      <c r="I67" s="2" t="inlineStr">
        <is>
          <t>Text</t>
        </is>
      </c>
      <c r="J67" s="2" t="inlineStr">
        <is>
          <t>Papyrus + ostraca</t>
        </is>
      </c>
      <c r="K67" s="2" t="inlineStr">
        <is>
          <t>Narrative</t>
        </is>
      </c>
      <c r="L67" s="2" t="inlineStr">
        <is>
          <t>Exile and return</t>
        </is>
      </c>
      <c r="M67" s="2" t="inlineStr">
        <is>
          <t>Egypt</t>
        </is>
      </c>
      <c r="N67" s="2" t="inlineStr">
        <is>
          <t>Middle Kingdom literary tradition</t>
        </is>
      </c>
      <c r="O67" s="2" t="inlineStr">
        <is>
          <t>Classic narrative about exile, foreign lands, and return to Egypt.</t>
        </is>
      </c>
      <c r="P67" s="2" t="inlineStr">
        <is>
          <t>Good historical-literary control text showing genre conventions.</t>
        </is>
      </c>
      <c r="Q67" s="2" t="inlineStr">
        <is>
          <t>Low</t>
        </is>
      </c>
      <c r="R67" s="2" t="inlineStr">
        <is>
          <t>High</t>
        </is>
      </c>
      <c r="S67" s="2" t="inlineStr">
        <is>
          <t>Medium</t>
        </is>
      </c>
      <c r="T67" s="2" t="inlineStr">
        <is>
          <t>TLA</t>
        </is>
      </c>
      <c r="U67" s="8" t="inlineStr">
        <is>
          <t>https://thesaurus-linguae-aegyptiae.de/</t>
        </is>
      </c>
      <c r="V67" s="2" t="inlineStr">
        <is>
          <t>TLA</t>
        </is>
      </c>
      <c r="W67" s="8" t="inlineStr">
        <is>
          <t>https://thesaurus-linguae-aegyptiae.de/</t>
        </is>
      </c>
      <c r="X67" s="2" t="inlineStr">
        <is>
          <t>British Museum Collection</t>
        </is>
      </c>
      <c r="Y67" s="8" t="inlineStr">
        <is>
          <t>https://www.britishmuseum.org/collection</t>
        </is>
      </c>
      <c r="Z67" s="2" t="inlineStr">
        <is>
          <t>UCL Digital Egypt</t>
        </is>
      </c>
      <c r="AA67" s="8" t="inlineStr">
        <is>
          <t>https://www.ucl.ac.uk/museums-static/digitalegypt/</t>
        </is>
      </c>
      <c r="AB67" s="2" t="inlineStr">
        <is>
          <t>UNESCO</t>
        </is>
      </c>
      <c r="AC67" s="8" t="inlineStr">
        <is>
          <t>https://whc.unesco.org/</t>
        </is>
      </c>
      <c r="AD67" s="2" t="inlineStr">
        <is>
          <t>Sinuhe translation</t>
        </is>
      </c>
      <c r="AE67" s="2" t="inlineStr">
        <is>
          <t>Important as a non-mythic literary comparison point.</t>
        </is>
      </c>
      <c r="AF67" s="2" t="inlineStr">
        <is>
          <t>Exile; borders; identity</t>
        </is>
      </c>
      <c r="AG67" s="2" t="inlineStr">
        <is>
          <t>Medium</t>
        </is>
      </c>
      <c r="AH67" s="2" t="inlineStr">
        <is>
          <t>Low</t>
        </is>
      </c>
      <c r="AI67" s="2" t="inlineStr"/>
      <c r="AJ67" t="inlineStr">
        <is>
          <t>https://thesaurus-linguae-aegyptiae.de/</t>
        </is>
      </c>
      <c r="AK67" t="inlineStr">
        <is>
          <t>https://thesaurus-linguae-aegyptiae.de/</t>
        </is>
      </c>
      <c r="AL67" t="inlineStr">
        <is>
          <t>https://www.britishmuseum.org/collection/search?keyword=Sinuhe+translation</t>
        </is>
      </c>
      <c r="AM67" t="inlineStr">
        <is>
          <t>https://www.ucl.ac.uk/museums-static/digitalegypt/</t>
        </is>
      </c>
      <c r="AN67" t="inlineStr">
        <is>
          <t>https://whc.unesco.org/en/search/?searchterm=Sinuhe+translation</t>
        </is>
      </c>
      <c r="AO67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67" t="inlineStr">
        <is>
          <t>Mixed: direct portal homepages plus search-result URLs where the portal exposes a public search endpoint.</t>
        </is>
      </c>
    </row>
    <row r="68">
      <c r="A68" s="2" t="n">
        <v>67</v>
      </c>
      <c r="B68" s="7" t="inlineStr">
        <is>
          <t>BCE_to_1AD</t>
        </is>
      </c>
      <c r="C68" s="2" t="inlineStr">
        <is>
          <t>Egypt</t>
        </is>
      </c>
      <c r="D68" s="2" t="inlineStr">
        <is>
          <t>Ancient Egypt</t>
        </is>
      </c>
      <c r="E68" s="2" t="n">
        <v>-1250</v>
      </c>
      <c r="F68" s="2" t="n">
        <v>-1200</v>
      </c>
      <c r="G68" s="2" t="inlineStr">
        <is>
          <t>c. 1250 BCE to 1200 BCE</t>
        </is>
      </c>
      <c r="H68" s="2" t="inlineStr">
        <is>
          <t>Ipuwer Papyrus</t>
        </is>
      </c>
      <c r="I68" s="2" t="inlineStr">
        <is>
          <t>Text</t>
        </is>
      </c>
      <c r="J68" s="2" t="inlineStr">
        <is>
          <t>Papyrus</t>
        </is>
      </c>
      <c r="K68" s="2" t="inlineStr">
        <is>
          <t>Chaos</t>
        </is>
      </c>
      <c r="L68" s="2" t="inlineStr">
        <is>
          <t>Lament</t>
        </is>
      </c>
      <c r="M68" s="2" t="inlineStr">
        <is>
          <t>Egypt</t>
        </is>
      </c>
      <c r="N68" s="2" t="inlineStr">
        <is>
          <t>New Kingdom copy of earlier composition</t>
        </is>
      </c>
      <c r="O68" s="2" t="inlineStr">
        <is>
          <t>Admonitions/lament text describing social reversal and turmoil.</t>
        </is>
      </c>
      <c r="P68" s="2" t="inlineStr">
        <is>
          <t>Frequently overused in catastrophe theories; valuable if anchored to genre.</t>
        </is>
      </c>
      <c r="Q68" s="2" t="inlineStr">
        <is>
          <t>High</t>
        </is>
      </c>
      <c r="R68" s="2" t="inlineStr">
        <is>
          <t>High</t>
        </is>
      </c>
      <c r="S68" s="2" t="inlineStr">
        <is>
          <t>Medium</t>
        </is>
      </c>
      <c r="T68" s="2" t="inlineStr">
        <is>
          <t>TLA</t>
        </is>
      </c>
      <c r="U68" s="8" t="inlineStr">
        <is>
          <t>https://thesaurus-linguae-aegyptiae.de/</t>
        </is>
      </c>
      <c r="V68" s="2" t="inlineStr">
        <is>
          <t>TLA</t>
        </is>
      </c>
      <c r="W68" s="8" t="inlineStr">
        <is>
          <t>https://thesaurus-linguae-aegyptiae.de/</t>
        </is>
      </c>
      <c r="X68" s="2" t="inlineStr">
        <is>
          <t>British Museum Collection</t>
        </is>
      </c>
      <c r="Y68" s="8" t="inlineStr">
        <is>
          <t>https://www.britishmuseum.org/collection</t>
        </is>
      </c>
      <c r="Z68" s="2" t="inlineStr">
        <is>
          <t>UCL Digital Egypt</t>
        </is>
      </c>
      <c r="AA68" s="8" t="inlineStr">
        <is>
          <t>https://www.ucl.ac.uk/museums-static/digitalegypt/</t>
        </is>
      </c>
      <c r="AB68" s="2" t="inlineStr">
        <is>
          <t>UNESCO</t>
        </is>
      </c>
      <c r="AC68" s="8" t="inlineStr">
        <is>
          <t>https://whc.unesco.org/</t>
        </is>
      </c>
      <c r="AD68" s="2" t="inlineStr">
        <is>
          <t>Ipuwer Papyrus</t>
        </is>
      </c>
      <c r="AE68" s="2" t="inlineStr">
        <is>
          <t>Likely literary lament, not eyewitness apocalypse.</t>
        </is>
      </c>
      <c r="AF68" s="2" t="inlineStr">
        <is>
          <t>Chaos; inversion; catastrophe rhetoric</t>
        </is>
      </c>
      <c r="AG68" s="2" t="inlineStr">
        <is>
          <t>High</t>
        </is>
      </c>
      <c r="AH68" s="2" t="inlineStr">
        <is>
          <t>Medium</t>
        </is>
      </c>
      <c r="AI68" s="2" t="inlineStr"/>
      <c r="AJ68" t="inlineStr">
        <is>
          <t>https://thesaurus-linguae-aegyptiae.de/</t>
        </is>
      </c>
      <c r="AK68" t="inlineStr">
        <is>
          <t>https://thesaurus-linguae-aegyptiae.de/</t>
        </is>
      </c>
      <c r="AL68" t="inlineStr">
        <is>
          <t>https://www.britishmuseum.org/collection/search?keyword=Ipuwer+Papyrus</t>
        </is>
      </c>
      <c r="AM68" t="inlineStr">
        <is>
          <t>https://www.ucl.ac.uk/museums-static/digitalegypt/</t>
        </is>
      </c>
      <c r="AN68" t="inlineStr">
        <is>
          <t>https://whc.unesco.org/en/search/?searchterm=Ipuwer+Papyrus</t>
        </is>
      </c>
      <c r="AO68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68" t="inlineStr">
        <is>
          <t>Mixed: direct portal homepages plus search-result URLs where the portal exposes a public search endpoint.</t>
        </is>
      </c>
    </row>
    <row r="69">
      <c r="A69" s="2" t="n">
        <v>68</v>
      </c>
      <c r="B69" s="7" t="inlineStr">
        <is>
          <t>BCE_to_1AD</t>
        </is>
      </c>
      <c r="C69" s="2" t="inlineStr">
        <is>
          <t>Egypt</t>
        </is>
      </c>
      <c r="D69" s="2" t="inlineStr">
        <is>
          <t>Ancient Egypt</t>
        </is>
      </c>
      <c r="E69" s="2" t="n">
        <v>-200</v>
      </c>
      <c r="F69" s="2" t="n">
        <v>-100</v>
      </c>
      <c r="G69" s="2" t="inlineStr">
        <is>
          <t>c. 200 BCE to 100 BCE</t>
        </is>
      </c>
      <c r="H69" s="2" t="inlineStr">
        <is>
          <t>Famine Stela</t>
        </is>
      </c>
      <c r="I69" s="2" t="inlineStr">
        <is>
          <t>Inscription</t>
        </is>
      </c>
      <c r="J69" s="2" t="inlineStr">
        <is>
          <t>Stela</t>
        </is>
      </c>
      <c r="K69" s="2" t="inlineStr">
        <is>
          <t>Drought</t>
        </is>
      </c>
      <c r="L69" s="2" t="inlineStr">
        <is>
          <t>Royal theology</t>
        </is>
      </c>
      <c r="M69" s="2" t="inlineStr">
        <is>
          <t>Egypt</t>
        </is>
      </c>
      <c r="N69" s="2" t="inlineStr">
        <is>
          <t>Sehel Island</t>
        </is>
      </c>
      <c r="O69" s="2" t="inlineStr">
        <is>
          <t>Ptolemaic inscription set in Djoser-era narrative about famine and divine appeasement.</t>
        </is>
      </c>
      <c r="P69" s="2" t="inlineStr">
        <is>
          <t>Important example of late text projecting memory onto deep past.</t>
        </is>
      </c>
      <c r="Q69" s="2" t="inlineStr">
        <is>
          <t>Medium</t>
        </is>
      </c>
      <c r="R69" s="2" t="inlineStr">
        <is>
          <t>High</t>
        </is>
      </c>
      <c r="S69" s="2" t="inlineStr">
        <is>
          <t>High</t>
        </is>
      </c>
      <c r="T69" s="2" t="inlineStr">
        <is>
          <t>TLA</t>
        </is>
      </c>
      <c r="U69" s="8" t="inlineStr">
        <is>
          <t>https://thesaurus-linguae-aegyptiae.de/</t>
        </is>
      </c>
      <c r="V69" s="2" t="inlineStr">
        <is>
          <t>TLA</t>
        </is>
      </c>
      <c r="W69" s="8" t="inlineStr">
        <is>
          <t>https://thesaurus-linguae-aegyptiae.de/</t>
        </is>
      </c>
      <c r="X69" s="2" t="inlineStr">
        <is>
          <t>British Museum Collection</t>
        </is>
      </c>
      <c r="Y69" s="8" t="inlineStr">
        <is>
          <t>https://www.britishmuseum.org/collection</t>
        </is>
      </c>
      <c r="Z69" s="2" t="inlineStr">
        <is>
          <t>UCL Digital Egypt</t>
        </is>
      </c>
      <c r="AA69" s="8" t="inlineStr">
        <is>
          <t>https://www.ucl.ac.uk/museums-static/digitalegypt/</t>
        </is>
      </c>
      <c r="AB69" s="2" t="inlineStr">
        <is>
          <t>UNESCO</t>
        </is>
      </c>
      <c r="AC69" s="8" t="inlineStr">
        <is>
          <t>https://whc.unesco.org/</t>
        </is>
      </c>
      <c r="AD69" s="2" t="inlineStr">
        <is>
          <t>Famine Stela</t>
        </is>
      </c>
      <c r="AE69" s="2" t="inlineStr">
        <is>
          <t>Late composition; useful as later witness, not Old Kingdom document.</t>
        </is>
      </c>
      <c r="AF69" s="2" t="inlineStr">
        <is>
          <t>Famine; sacred river control</t>
        </is>
      </c>
      <c r="AG69" s="2" t="inlineStr">
        <is>
          <t>Medium</t>
        </is>
      </c>
      <c r="AH69" s="2" t="inlineStr">
        <is>
          <t>Medium</t>
        </is>
      </c>
      <c r="AI69" s="2" t="inlineStr"/>
      <c r="AJ69" t="inlineStr">
        <is>
          <t>https://thesaurus-linguae-aegyptiae.de/</t>
        </is>
      </c>
      <c r="AK69" t="inlineStr">
        <is>
          <t>https://thesaurus-linguae-aegyptiae.de/</t>
        </is>
      </c>
      <c r="AL69" t="inlineStr">
        <is>
          <t>https://www.britishmuseum.org/collection/search?keyword=Famine+Stela</t>
        </is>
      </c>
      <c r="AM69" t="inlineStr">
        <is>
          <t>https://www.ucl.ac.uk/museums-static/digitalegypt/</t>
        </is>
      </c>
      <c r="AN69" t="inlineStr">
        <is>
          <t>https://whc.unesco.org/en/search/?searchterm=Famine+Stela</t>
        </is>
      </c>
      <c r="AO69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69" t="inlineStr">
        <is>
          <t>Mixed: direct portal homepages plus search-result URLs where the portal exposes a public search endpoint.</t>
        </is>
      </c>
    </row>
    <row r="70">
      <c r="A70" s="2" t="n">
        <v>69</v>
      </c>
      <c r="B70" s="7" t="inlineStr">
        <is>
          <t>BCE_to_1AD</t>
        </is>
      </c>
      <c r="C70" s="2" t="inlineStr">
        <is>
          <t>Levant / Israel / Phoenicia</t>
        </is>
      </c>
      <c r="D70" s="2" t="inlineStr">
        <is>
          <t>Levantine traditions</t>
        </is>
      </c>
      <c r="E70" s="2" t="n">
        <v>-1400</v>
      </c>
      <c r="F70" s="2" t="n">
        <v>-1200</v>
      </c>
      <c r="G70" s="2" t="inlineStr">
        <is>
          <t>c. 1400 BCE to 1200 BCE</t>
        </is>
      </c>
      <c r="H70" s="2" t="inlineStr">
        <is>
          <t>Ugarit / Ras Shamra</t>
        </is>
      </c>
      <c r="I70" s="2" t="inlineStr">
        <is>
          <t>Site</t>
        </is>
      </c>
      <c r="J70" s="2" t="inlineStr">
        <is>
          <t>Archaeology</t>
        </is>
      </c>
      <c r="K70" s="2" t="inlineStr">
        <is>
          <t>Myth</t>
        </is>
      </c>
      <c r="L70" s="2" t="inlineStr">
        <is>
          <t>Archives</t>
        </is>
      </c>
      <c r="M70" s="2" t="inlineStr">
        <is>
          <t>Syria</t>
        </is>
      </c>
      <c r="N70" s="2" t="inlineStr">
        <is>
          <t>Late Bronze Age Ugarit</t>
        </is>
      </c>
      <c r="O70" s="2" t="inlineStr">
        <is>
          <t>Levantine city whose tablets preserve alphabetic cuneiform myths and epics.</t>
        </is>
      </c>
      <c r="P70" s="2" t="inlineStr">
        <is>
          <t>The best textual gateway into Canaanite myth before classical and biblical redaction.</t>
        </is>
      </c>
      <c r="Q70" s="2" t="inlineStr">
        <is>
          <t>High</t>
        </is>
      </c>
      <c r="R70" s="2" t="inlineStr">
        <is>
          <t>Partial</t>
        </is>
      </c>
      <c r="S70" s="2" t="inlineStr">
        <is>
          <t>Medium</t>
        </is>
      </c>
      <c r="T70" s="2" t="inlineStr">
        <is>
          <t>UNESCO</t>
        </is>
      </c>
      <c r="U70" s="8" t="inlineStr">
        <is>
          <t>https://whc.unesco.org/</t>
        </is>
      </c>
      <c r="V70" s="2" t="inlineStr">
        <is>
          <t>Sefaria</t>
        </is>
      </c>
      <c r="W70" s="8" t="inlineStr">
        <is>
          <t>https://www.sefaria.org/</t>
        </is>
      </c>
      <c r="X70" s="2" t="inlineStr">
        <is>
          <t>British Museum Collection</t>
        </is>
      </c>
      <c r="Y70" s="8" t="inlineStr">
        <is>
          <t>https://www.britishmuseum.org/collection</t>
        </is>
      </c>
      <c r="Z70" s="2" t="inlineStr">
        <is>
          <t>UNESCO</t>
        </is>
      </c>
      <c r="AA70" s="8" t="inlineStr">
        <is>
          <t>https://whc.unesco.org/</t>
        </is>
      </c>
      <c r="AB70" s="2" t="inlineStr">
        <is>
          <t>Pleiades</t>
        </is>
      </c>
      <c r="AC70" s="8" t="inlineStr">
        <is>
          <t>https://pleiades.stoa.org/</t>
        </is>
      </c>
      <c r="AD70" s="2" t="inlineStr">
        <is>
          <t>Ugarit Baal Cycle</t>
        </is>
      </c>
      <c r="AE70" s="2" t="inlineStr">
        <is>
          <t>Use excavation archive with text corpus.</t>
        </is>
      </c>
      <c r="AF70" s="2" t="inlineStr">
        <is>
          <t>Storm god; divine family</t>
        </is>
      </c>
      <c r="AG70" s="2" t="inlineStr">
        <is>
          <t>Critical</t>
        </is>
      </c>
      <c r="AH70" s="2" t="inlineStr">
        <is>
          <t>High</t>
        </is>
      </c>
      <c r="AI70" s="2" t="inlineStr"/>
      <c r="AJ70" t="inlineStr">
        <is>
          <t>https://whc.unesco.org/en/search/?searchterm=Ugarit+Baal+Cycle</t>
        </is>
      </c>
      <c r="AK70" t="inlineStr">
        <is>
          <t>https://www.sefaria.org/search?q=Ugarit+Baal+Cycle&amp;tab=text</t>
        </is>
      </c>
      <c r="AL70" t="inlineStr">
        <is>
          <t>https://www.britishmuseum.org/collection/search?keyword=Ugarit+Baal+Cycle</t>
        </is>
      </c>
      <c r="AM70" t="inlineStr">
        <is>
          <t>https://whc.unesco.org/en/search/?searchterm=Ugarit+Baal+Cycle</t>
        </is>
      </c>
      <c r="AN70" t="inlineStr">
        <is>
          <t>https://pleiades.stoa.org/search?SearchableText=Ugarit+Baal+Cycle</t>
        </is>
      </c>
      <c r="AO70" t="inlineStr">
        <is>
          <t>1) Fact base: UNESCO. 2) Translation/text: Sefaria. 3) Images/objects: British Museum Collection. 4) Context/explanation: UNESCO. 5) Geography/maps: Pleiades. Use Suggested_Search_Term inside each portal.</t>
        </is>
      </c>
      <c r="AP70" t="inlineStr">
        <is>
          <t>Mixed: direct portal homepages plus search-result URLs where the portal exposes a public search endpoint.</t>
        </is>
      </c>
    </row>
    <row r="71">
      <c r="A71" s="2" t="n">
        <v>70</v>
      </c>
      <c r="B71" s="7" t="inlineStr">
        <is>
          <t>BCE_to_1AD</t>
        </is>
      </c>
      <c r="C71" s="2" t="inlineStr">
        <is>
          <t>Levant / Israel / Phoenicia</t>
        </is>
      </c>
      <c r="D71" s="2" t="inlineStr">
        <is>
          <t>Levantine traditions</t>
        </is>
      </c>
      <c r="E71" s="2" t="n">
        <v>-1400</v>
      </c>
      <c r="F71" s="2" t="n">
        <v>-1200</v>
      </c>
      <c r="G71" s="2" t="inlineStr">
        <is>
          <t>c. 1400 BCE to 1200 BCE</t>
        </is>
      </c>
      <c r="H71" s="2" t="inlineStr">
        <is>
          <t>Baal Cycle</t>
        </is>
      </c>
      <c r="I71" s="2" t="inlineStr">
        <is>
          <t>Text</t>
        </is>
      </c>
      <c r="J71" s="2" t="inlineStr">
        <is>
          <t>Tablet corpus</t>
        </is>
      </c>
      <c r="K71" s="2" t="inlineStr">
        <is>
          <t>Creation order</t>
        </is>
      </c>
      <c r="L71" s="2" t="inlineStr">
        <is>
          <t>Storm god</t>
        </is>
      </c>
      <c r="M71" s="2" t="inlineStr">
        <is>
          <t>Syria</t>
        </is>
      </c>
      <c r="N71" s="2" t="inlineStr">
        <is>
          <t>Ugaritic literary tradition</t>
        </is>
      </c>
      <c r="O71" s="2" t="inlineStr">
        <is>
          <t>Mythic cycle involving Baal, Yam, Mot, and cosmic kingship.</t>
        </is>
      </c>
      <c r="P71" s="2" t="inlineStr">
        <is>
          <t>Critical for comparing chaos waters, storm gods, and biblical parallels.</t>
        </is>
      </c>
      <c r="Q71" s="2" t="inlineStr">
        <is>
          <t>High</t>
        </is>
      </c>
      <c r="R71" s="2" t="inlineStr">
        <is>
          <t>High</t>
        </is>
      </c>
      <c r="S71" s="2" t="inlineStr">
        <is>
          <t>Medium</t>
        </is>
      </c>
      <c r="T71" s="2" t="inlineStr">
        <is>
          <t>UNESCO</t>
        </is>
      </c>
      <c r="U71" s="8" t="inlineStr">
        <is>
          <t>https://whc.unesco.org/</t>
        </is>
      </c>
      <c r="V71" s="2" t="inlineStr">
        <is>
          <t>Sefaria</t>
        </is>
      </c>
      <c r="W71" s="8" t="inlineStr">
        <is>
          <t>https://www.sefaria.org/</t>
        </is>
      </c>
      <c r="X71" s="2" t="inlineStr">
        <is>
          <t>British Museum Collection</t>
        </is>
      </c>
      <c r="Y71" s="8" t="inlineStr">
        <is>
          <t>https://www.britishmuseum.org/collection</t>
        </is>
      </c>
      <c r="Z71" s="2" t="inlineStr">
        <is>
          <t>UNESCO</t>
        </is>
      </c>
      <c r="AA71" s="8" t="inlineStr">
        <is>
          <t>https://whc.unesco.org/</t>
        </is>
      </c>
      <c r="AB71" s="2" t="inlineStr">
        <is>
          <t>Pleiades</t>
        </is>
      </c>
      <c r="AC71" s="8" t="inlineStr">
        <is>
          <t>https://pleiades.stoa.org/</t>
        </is>
      </c>
      <c r="AD71" s="2" t="inlineStr">
        <is>
          <t>Baal Cycle</t>
        </is>
      </c>
      <c r="AE71" s="2" t="inlineStr">
        <is>
          <t>Tablet order and reconstruction are important.</t>
        </is>
      </c>
      <c r="AF71" s="2" t="inlineStr">
        <is>
          <t>Chaos waters; divine combat</t>
        </is>
      </c>
      <c r="AG71" s="2" t="inlineStr">
        <is>
          <t>Critical</t>
        </is>
      </c>
      <c r="AH71" s="2" t="inlineStr">
        <is>
          <t>High</t>
        </is>
      </c>
      <c r="AI71" s="2" t="inlineStr"/>
      <c r="AJ71" t="inlineStr">
        <is>
          <t>https://whc.unesco.org/en/search/?searchterm=Baal+Cycle</t>
        </is>
      </c>
      <c r="AK71" t="inlineStr">
        <is>
          <t>https://www.sefaria.org/search?q=Baal+Cycle&amp;tab=text</t>
        </is>
      </c>
      <c r="AL71" t="inlineStr">
        <is>
          <t>https://www.britishmuseum.org/collection/search?keyword=Baal+Cycle</t>
        </is>
      </c>
      <c r="AM71" t="inlineStr">
        <is>
          <t>https://whc.unesco.org/en/search/?searchterm=Baal+Cycle</t>
        </is>
      </c>
      <c r="AN71" t="inlineStr">
        <is>
          <t>https://pleiades.stoa.org/search?SearchableText=Baal+Cycle</t>
        </is>
      </c>
      <c r="AO71" t="inlineStr">
        <is>
          <t>1) Fact base: UNESCO. 2) Translation/text: Sefaria. 3) Images/objects: British Museum Collection. 4) Context/explanation: UNESCO. 5) Geography/maps: Pleiades. Use Suggested_Search_Term inside each portal.</t>
        </is>
      </c>
      <c r="AP71" t="inlineStr">
        <is>
          <t>Mixed: direct portal homepages plus search-result URLs where the portal exposes a public search endpoint.</t>
        </is>
      </c>
    </row>
    <row r="72">
      <c r="A72" s="2" t="n">
        <v>71</v>
      </c>
      <c r="B72" s="7" t="inlineStr">
        <is>
          <t>BCE_to_1AD</t>
        </is>
      </c>
      <c r="C72" s="2" t="inlineStr">
        <is>
          <t>Levant / Israel / Phoenicia</t>
        </is>
      </c>
      <c r="D72" s="2" t="inlineStr">
        <is>
          <t>Levantine traditions</t>
        </is>
      </c>
      <c r="E72" s="2" t="n">
        <v>-1400</v>
      </c>
      <c r="F72" s="2" t="n">
        <v>-1200</v>
      </c>
      <c r="G72" s="2" t="inlineStr">
        <is>
          <t>c. 1400 BCE to 1200 BCE</t>
        </is>
      </c>
      <c r="H72" s="2" t="inlineStr">
        <is>
          <t>Aqhat Epic</t>
        </is>
      </c>
      <c r="I72" s="2" t="inlineStr">
        <is>
          <t>Text</t>
        </is>
      </c>
      <c r="J72" s="2" t="inlineStr">
        <is>
          <t>Tablet corpus</t>
        </is>
      </c>
      <c r="K72" s="2" t="inlineStr">
        <is>
          <t>Hero legend</t>
        </is>
      </c>
      <c r="L72" s="2" t="inlineStr">
        <is>
          <t>Divine justice</t>
        </is>
      </c>
      <c r="M72" s="2" t="inlineStr">
        <is>
          <t>Syria</t>
        </is>
      </c>
      <c r="N72" s="2" t="inlineStr">
        <is>
          <t>Ugaritic literary tradition</t>
        </is>
      </c>
      <c r="O72" s="2" t="inlineStr">
        <is>
          <t>Narrative of Aqhat, Anat, and dynastic continuity.</t>
        </is>
      </c>
      <c r="P72" s="2" t="inlineStr">
        <is>
          <t>Helpful for family, mortality, and warrior-goddess themes.</t>
        </is>
      </c>
      <c r="Q72" s="2" t="inlineStr">
        <is>
          <t>Medium</t>
        </is>
      </c>
      <c r="R72" s="2" t="inlineStr">
        <is>
          <t>High</t>
        </is>
      </c>
      <c r="S72" s="2" t="inlineStr">
        <is>
          <t>Low</t>
        </is>
      </c>
      <c r="T72" s="2" t="inlineStr">
        <is>
          <t>UNESCO</t>
        </is>
      </c>
      <c r="U72" s="8" t="inlineStr">
        <is>
          <t>https://whc.unesco.org/</t>
        </is>
      </c>
      <c r="V72" s="2" t="inlineStr">
        <is>
          <t>Sefaria</t>
        </is>
      </c>
      <c r="W72" s="8" t="inlineStr">
        <is>
          <t>https://www.sefaria.org/</t>
        </is>
      </c>
      <c r="X72" s="2" t="inlineStr">
        <is>
          <t>British Museum Collection</t>
        </is>
      </c>
      <c r="Y72" s="8" t="inlineStr">
        <is>
          <t>https://www.britishmuseum.org/collection</t>
        </is>
      </c>
      <c r="Z72" s="2" t="inlineStr">
        <is>
          <t>UNESCO</t>
        </is>
      </c>
      <c r="AA72" s="8" t="inlineStr">
        <is>
          <t>https://whc.unesco.org/</t>
        </is>
      </c>
      <c r="AB72" s="2" t="inlineStr">
        <is>
          <t>Pleiades</t>
        </is>
      </c>
      <c r="AC72" s="8" t="inlineStr">
        <is>
          <t>https://pleiades.stoa.org/</t>
        </is>
      </c>
      <c r="AD72" s="2" t="inlineStr">
        <is>
          <t>Aqhat text</t>
        </is>
      </c>
      <c r="AE72" s="2" t="inlineStr">
        <is>
          <t>More fragmentary than Baal Cycle.</t>
        </is>
      </c>
      <c r="AF72" s="2" t="inlineStr">
        <is>
          <t>Hero cycle; mortality</t>
        </is>
      </c>
      <c r="AG72" s="2" t="inlineStr">
        <is>
          <t>Medium</t>
        </is>
      </c>
      <c r="AH72" s="2" t="inlineStr">
        <is>
          <t>Medium</t>
        </is>
      </c>
      <c r="AI72" s="2" t="inlineStr"/>
      <c r="AJ72" t="inlineStr">
        <is>
          <t>https://whc.unesco.org/en/search/?searchterm=Aqhat+text</t>
        </is>
      </c>
      <c r="AK72" t="inlineStr">
        <is>
          <t>https://www.sefaria.org/search?q=Aqhat+text&amp;tab=text</t>
        </is>
      </c>
      <c r="AL72" t="inlineStr">
        <is>
          <t>https://www.britishmuseum.org/collection/search?keyword=Aqhat+text</t>
        </is>
      </c>
      <c r="AM72" t="inlineStr">
        <is>
          <t>https://whc.unesco.org/en/search/?searchterm=Aqhat+text</t>
        </is>
      </c>
      <c r="AN72" t="inlineStr">
        <is>
          <t>https://pleiades.stoa.org/search?SearchableText=Aqhat+text</t>
        </is>
      </c>
      <c r="AO72" t="inlineStr">
        <is>
          <t>1) Fact base: UNESCO. 2) Translation/text: Sefaria. 3) Images/objects: British Museum Collection. 4) Context/explanation: UNESCO. 5) Geography/maps: Pleiades. Use Suggested_Search_Term inside each portal.</t>
        </is>
      </c>
      <c r="AP72" t="inlineStr">
        <is>
          <t>Mixed: direct portal homepages plus search-result URLs where the portal exposes a public search endpoint.</t>
        </is>
      </c>
    </row>
    <row r="73">
      <c r="A73" s="2" t="n">
        <v>72</v>
      </c>
      <c r="B73" s="7" t="inlineStr">
        <is>
          <t>BCE_to_1AD</t>
        </is>
      </c>
      <c r="C73" s="2" t="inlineStr">
        <is>
          <t>Levant / Israel / Phoenicia</t>
        </is>
      </c>
      <c r="D73" s="2" t="inlineStr">
        <is>
          <t>Levantine traditions</t>
        </is>
      </c>
      <c r="E73" s="2" t="n">
        <v>-1400</v>
      </c>
      <c r="F73" s="2" t="n">
        <v>-1200</v>
      </c>
      <c r="G73" s="2" t="inlineStr">
        <is>
          <t>c. 1400 BCE to 1200 BCE</t>
        </is>
      </c>
      <c r="H73" s="2" t="inlineStr">
        <is>
          <t>Kirta Epic</t>
        </is>
      </c>
      <c r="I73" s="2" t="inlineStr">
        <is>
          <t>Text</t>
        </is>
      </c>
      <c r="J73" s="2" t="inlineStr">
        <is>
          <t>Tablet corpus</t>
        </is>
      </c>
      <c r="K73" s="2" t="inlineStr">
        <is>
          <t>Kingship</t>
        </is>
      </c>
      <c r="L73" s="2" t="inlineStr">
        <is>
          <t>Dynastic crisis</t>
        </is>
      </c>
      <c r="M73" s="2" t="inlineStr">
        <is>
          <t>Syria</t>
        </is>
      </c>
      <c r="N73" s="2" t="inlineStr">
        <is>
          <t>Ugaritic literary tradition</t>
        </is>
      </c>
      <c r="O73" s="2" t="inlineStr">
        <is>
          <t>Royal narrative about oath, family, and divine intervention.</t>
        </is>
      </c>
      <c r="P73" s="2" t="inlineStr">
        <is>
          <t>Useful for king-making and dynastic legitimacy motifs.</t>
        </is>
      </c>
      <c r="Q73" s="2" t="inlineStr">
        <is>
          <t>Medium</t>
        </is>
      </c>
      <c r="R73" s="2" t="inlineStr">
        <is>
          <t>High</t>
        </is>
      </c>
      <c r="S73" s="2" t="inlineStr">
        <is>
          <t>Low</t>
        </is>
      </c>
      <c r="T73" s="2" t="inlineStr">
        <is>
          <t>UNESCO</t>
        </is>
      </c>
      <c r="U73" s="8" t="inlineStr">
        <is>
          <t>https://whc.unesco.org/</t>
        </is>
      </c>
      <c r="V73" s="2" t="inlineStr">
        <is>
          <t>Sefaria</t>
        </is>
      </c>
      <c r="W73" s="8" t="inlineStr">
        <is>
          <t>https://www.sefaria.org/</t>
        </is>
      </c>
      <c r="X73" s="2" t="inlineStr">
        <is>
          <t>British Museum Collection</t>
        </is>
      </c>
      <c r="Y73" s="8" t="inlineStr">
        <is>
          <t>https://www.britishmuseum.org/collection</t>
        </is>
      </c>
      <c r="Z73" s="2" t="inlineStr">
        <is>
          <t>UNESCO</t>
        </is>
      </c>
      <c r="AA73" s="8" t="inlineStr">
        <is>
          <t>https://whc.unesco.org/</t>
        </is>
      </c>
      <c r="AB73" s="2" t="inlineStr">
        <is>
          <t>Pleiades</t>
        </is>
      </c>
      <c r="AC73" s="8" t="inlineStr">
        <is>
          <t>https://pleiades.stoa.org/</t>
        </is>
      </c>
      <c r="AD73" s="2" t="inlineStr">
        <is>
          <t>Kirta epic</t>
        </is>
      </c>
      <c r="AE73" s="2" t="inlineStr">
        <is>
          <t>Good comparative text for royal ideology.</t>
        </is>
      </c>
      <c r="AF73" s="2" t="inlineStr">
        <is>
          <t>Kingship; vows</t>
        </is>
      </c>
      <c r="AG73" s="2" t="inlineStr">
        <is>
          <t>Medium</t>
        </is>
      </c>
      <c r="AH73" s="2" t="inlineStr">
        <is>
          <t>Medium</t>
        </is>
      </c>
      <c r="AI73" s="2" t="inlineStr"/>
      <c r="AJ73" t="inlineStr">
        <is>
          <t>https://whc.unesco.org/en/search/?searchterm=Kirta+epic</t>
        </is>
      </c>
      <c r="AK73" t="inlineStr">
        <is>
          <t>https://www.sefaria.org/search?q=Kirta+epic&amp;tab=text</t>
        </is>
      </c>
      <c r="AL73" t="inlineStr">
        <is>
          <t>https://www.britishmuseum.org/collection/search?keyword=Kirta+epic</t>
        </is>
      </c>
      <c r="AM73" t="inlineStr">
        <is>
          <t>https://whc.unesco.org/en/search/?searchterm=Kirta+epic</t>
        </is>
      </c>
      <c r="AN73" t="inlineStr">
        <is>
          <t>https://pleiades.stoa.org/search?SearchableText=Kirta+epic</t>
        </is>
      </c>
      <c r="AO73" t="inlineStr">
        <is>
          <t>1) Fact base: UNESCO. 2) Translation/text: Sefaria. 3) Images/objects: British Museum Collection. 4) Context/explanation: UNESCO. 5) Geography/maps: Pleiades. Use Suggested_Search_Term inside each portal.</t>
        </is>
      </c>
      <c r="AP73" t="inlineStr">
        <is>
          <t>Mixed: direct portal homepages plus search-result URLs where the portal exposes a public search endpoint.</t>
        </is>
      </c>
    </row>
    <row r="74">
      <c r="A74" s="2" t="n">
        <v>73</v>
      </c>
      <c r="B74" s="7" t="inlineStr">
        <is>
          <t>BCE_to_1AD</t>
        </is>
      </c>
      <c r="C74" s="2" t="inlineStr">
        <is>
          <t>Levant / Israel / Phoenicia</t>
        </is>
      </c>
      <c r="D74" s="2" t="inlineStr">
        <is>
          <t>Levantine traditions</t>
        </is>
      </c>
      <c r="E74" s="2" t="n">
        <v>-1200</v>
      </c>
      <c r="F74" s="2" t="n">
        <v>-500</v>
      </c>
      <c r="G74" s="2" t="inlineStr">
        <is>
          <t>c. 1200 BCE to 500 BCE</t>
        </is>
      </c>
      <c r="H74" s="2" t="inlineStr">
        <is>
          <t>Phoenician Inscriptions Corpus</t>
        </is>
      </c>
      <c r="I74" s="2" t="inlineStr">
        <is>
          <t>Inscription corpus</t>
        </is>
      </c>
      <c r="J74" s="2" t="inlineStr">
        <is>
          <t>Stone/metal inscriptions</t>
        </is>
      </c>
      <c r="K74" s="2" t="inlineStr">
        <is>
          <t>Kingship</t>
        </is>
      </c>
      <c r="L74" s="2" t="inlineStr">
        <is>
          <t>Maritime cities</t>
        </is>
      </c>
      <c r="M74" s="2" t="inlineStr">
        <is>
          <t>Lebanon and Mediterranean</t>
        </is>
      </c>
      <c r="N74" s="2" t="inlineStr">
        <is>
          <t>Byblos, Sidon, Tyre and colonies</t>
        </is>
      </c>
      <c r="O74" s="2" t="inlineStr">
        <is>
          <t>Alphabetic inscriptions on tombs, dedications, and royal objects.</t>
        </is>
      </c>
      <c r="P74" s="2" t="inlineStr">
        <is>
          <t>Important for alphabet transmission and Levantine urban culture.</t>
        </is>
      </c>
      <c r="Q74" s="2" t="inlineStr">
        <is>
          <t>Medium</t>
        </is>
      </c>
      <c r="R74" s="2" t="inlineStr">
        <is>
          <t>Partial</t>
        </is>
      </c>
      <c r="S74" s="2" t="inlineStr">
        <is>
          <t>High</t>
        </is>
      </c>
      <c r="T74" s="2" t="inlineStr">
        <is>
          <t>UNESCO</t>
        </is>
      </c>
      <c r="U74" s="8" t="inlineStr">
        <is>
          <t>https://whc.unesco.org/</t>
        </is>
      </c>
      <c r="V74" s="2" t="inlineStr">
        <is>
          <t>Sefaria</t>
        </is>
      </c>
      <c r="W74" s="8" t="inlineStr">
        <is>
          <t>https://www.sefaria.org/</t>
        </is>
      </c>
      <c r="X74" s="2" t="inlineStr">
        <is>
          <t>British Museum Collection</t>
        </is>
      </c>
      <c r="Y74" s="8" t="inlineStr">
        <is>
          <t>https://www.britishmuseum.org/collection</t>
        </is>
      </c>
      <c r="Z74" s="2" t="inlineStr">
        <is>
          <t>UNESCO</t>
        </is>
      </c>
      <c r="AA74" s="8" t="inlineStr">
        <is>
          <t>https://whc.unesco.org/</t>
        </is>
      </c>
      <c r="AB74" s="2" t="inlineStr">
        <is>
          <t>Pleiades</t>
        </is>
      </c>
      <c r="AC74" s="8" t="inlineStr">
        <is>
          <t>https://pleiades.stoa.org/</t>
        </is>
      </c>
      <c r="AD74" s="2" t="inlineStr">
        <is>
          <t>Phoenician inscriptions</t>
        </is>
      </c>
      <c r="AE74" s="2" t="inlineStr">
        <is>
          <t>Dispersed across many museums and corpora.</t>
        </is>
      </c>
      <c r="AF74" s="2" t="inlineStr">
        <is>
          <t>Alphabet; maritime networks</t>
        </is>
      </c>
      <c r="AG74" s="2" t="inlineStr">
        <is>
          <t>High</t>
        </is>
      </c>
      <c r="AH74" s="2" t="inlineStr">
        <is>
          <t>Medium</t>
        </is>
      </c>
      <c r="AI74" s="2" t="inlineStr"/>
      <c r="AJ74" t="inlineStr">
        <is>
          <t>https://whc.unesco.org/en/search/?searchterm=Phoenician+inscriptions</t>
        </is>
      </c>
      <c r="AK74" t="inlineStr">
        <is>
          <t>https://www.sefaria.org/search?q=Phoenician+inscriptions&amp;tab=text</t>
        </is>
      </c>
      <c r="AL74" t="inlineStr">
        <is>
          <t>https://www.britishmuseum.org/collection/search?keyword=Phoenician+inscriptions</t>
        </is>
      </c>
      <c r="AM74" t="inlineStr">
        <is>
          <t>https://whc.unesco.org/en/search/?searchterm=Phoenician+inscriptions</t>
        </is>
      </c>
      <c r="AN74" t="inlineStr">
        <is>
          <t>https://pleiades.stoa.org/search?SearchableText=Phoenician+inscriptions</t>
        </is>
      </c>
      <c r="AO74" t="inlineStr">
        <is>
          <t>1) Fact base: UNESCO. 2) Translation/text: Sefaria. 3) Images/objects: British Museum Collection. 4) Context/explanation: UNESCO. 5) Geography/maps: Pleiades. Use Suggested_Search_Term inside each portal.</t>
        </is>
      </c>
      <c r="AP74" t="inlineStr">
        <is>
          <t>Mixed: direct portal homepages plus search-result URLs where the portal exposes a public search endpoint.</t>
        </is>
      </c>
    </row>
    <row r="75">
      <c r="A75" s="2" t="n">
        <v>74</v>
      </c>
      <c r="B75" s="7" t="inlineStr">
        <is>
          <t>BCE_to_1AD</t>
        </is>
      </c>
      <c r="C75" s="2" t="inlineStr">
        <is>
          <t>Levant / Israel / Phoenicia</t>
        </is>
      </c>
      <c r="D75" s="2" t="inlineStr">
        <is>
          <t>Levantine traditions</t>
        </is>
      </c>
      <c r="E75" s="2" t="n">
        <v>-1200</v>
      </c>
      <c r="F75" s="2" t="n">
        <v>-500</v>
      </c>
      <c r="G75" s="2" t="inlineStr">
        <is>
          <t>c. 1200 BCE to 500 BCE</t>
        </is>
      </c>
      <c r="H75" s="2" t="inlineStr">
        <is>
          <t>Byblos</t>
        </is>
      </c>
      <c r="I75" s="2" t="inlineStr">
        <is>
          <t>Site</t>
        </is>
      </c>
      <c r="J75" s="2" t="inlineStr">
        <is>
          <t>Archaeology</t>
        </is>
      </c>
      <c r="K75" s="2" t="inlineStr">
        <is>
          <t>Maritime trade</t>
        </is>
      </c>
      <c r="L75" s="2" t="inlineStr">
        <is>
          <t>Sacred city</t>
        </is>
      </c>
      <c r="M75" s="2" t="inlineStr">
        <is>
          <t>Lebanon</t>
        </is>
      </c>
      <c r="N75" s="2" t="inlineStr">
        <is>
          <t>Phoenician coast</t>
        </is>
      </c>
      <c r="O75" s="2" t="inlineStr">
        <is>
          <t>Ancient port city with long cultural continuity and inscription finds.</t>
        </is>
      </c>
      <c r="P75" s="2" t="inlineStr">
        <is>
          <t>Key site for Levant-Egypt exchange and alphabet history.</t>
        </is>
      </c>
      <c r="Q75" s="2" t="inlineStr">
        <is>
          <t>Medium</t>
        </is>
      </c>
      <c r="R75" s="2" t="inlineStr">
        <is>
          <t>Not applicable</t>
        </is>
      </c>
      <c r="S75" s="2" t="inlineStr">
        <is>
          <t>Medium</t>
        </is>
      </c>
      <c r="T75" s="2" t="inlineStr">
        <is>
          <t>UNESCO</t>
        </is>
      </c>
      <c r="U75" s="8" t="inlineStr">
        <is>
          <t>https://whc.unesco.org/</t>
        </is>
      </c>
      <c r="V75" s="2" t="inlineStr">
        <is>
          <t>Sefaria</t>
        </is>
      </c>
      <c r="W75" s="8" t="inlineStr">
        <is>
          <t>https://www.sefaria.org/</t>
        </is>
      </c>
      <c r="X75" s="2" t="inlineStr">
        <is>
          <t>British Museum Collection</t>
        </is>
      </c>
      <c r="Y75" s="8" t="inlineStr">
        <is>
          <t>https://www.britishmuseum.org/collection</t>
        </is>
      </c>
      <c r="Z75" s="2" t="inlineStr">
        <is>
          <t>UNESCO</t>
        </is>
      </c>
      <c r="AA75" s="8" t="inlineStr">
        <is>
          <t>https://whc.unesco.org/</t>
        </is>
      </c>
      <c r="AB75" s="2" t="inlineStr">
        <is>
          <t>Pleiades</t>
        </is>
      </c>
      <c r="AC75" s="8" t="inlineStr">
        <is>
          <t>https://pleiades.stoa.org/</t>
        </is>
      </c>
      <c r="AD75" s="2" t="inlineStr">
        <is>
          <t>Byblos archaeology</t>
        </is>
      </c>
      <c r="AE75" s="2" t="inlineStr">
        <is>
          <t>Long chronology; separate Bronze and Iron Age phases.</t>
        </is>
      </c>
      <c r="AF75" s="2" t="inlineStr">
        <is>
          <t>Trade; writing transmission</t>
        </is>
      </c>
      <c r="AG75" s="2" t="inlineStr">
        <is>
          <t>Medium</t>
        </is>
      </c>
      <c r="AH75" s="2" t="inlineStr">
        <is>
          <t>Medium</t>
        </is>
      </c>
      <c r="AI75" s="2" t="inlineStr"/>
      <c r="AJ75" t="inlineStr">
        <is>
          <t>https://whc.unesco.org/en/search/?searchterm=Byblos+archaeology</t>
        </is>
      </c>
      <c r="AK75" t="inlineStr">
        <is>
          <t>https://www.sefaria.org/search?q=Byblos+archaeology&amp;tab=text</t>
        </is>
      </c>
      <c r="AL75" t="inlineStr">
        <is>
          <t>https://www.britishmuseum.org/collection/search?keyword=Byblos+archaeology</t>
        </is>
      </c>
      <c r="AM75" t="inlineStr">
        <is>
          <t>https://whc.unesco.org/en/search/?searchterm=Byblos+archaeology</t>
        </is>
      </c>
      <c r="AN75" t="inlineStr">
        <is>
          <t>https://pleiades.stoa.org/search?SearchableText=Byblos+archaeology</t>
        </is>
      </c>
      <c r="AO75" t="inlineStr">
        <is>
          <t>1) Fact base: UNESCO. 2) Translation/text: Sefaria. 3) Images/objects: British Museum Collection. 4) Context/explanation: UNESCO. 5) Geography/maps: Pleiades. Use Suggested_Search_Term inside each portal.</t>
        </is>
      </c>
      <c r="AP75" t="inlineStr">
        <is>
          <t>Mixed: direct portal homepages plus search-result URLs where the portal exposes a public search endpoint.</t>
        </is>
      </c>
    </row>
    <row r="76">
      <c r="A76" s="2" t="n">
        <v>75</v>
      </c>
      <c r="B76" s="7" t="inlineStr">
        <is>
          <t>BCE_to_1AD</t>
        </is>
      </c>
      <c r="C76" s="2" t="inlineStr">
        <is>
          <t>Levant / Israel / Phoenicia</t>
        </is>
      </c>
      <c r="D76" s="2" t="inlineStr">
        <is>
          <t>Levantine traditions</t>
        </is>
      </c>
      <c r="E76" s="2" t="n">
        <v>-1200</v>
      </c>
      <c r="F76" s="2" t="n">
        <v>-300</v>
      </c>
      <c r="G76" s="2" t="inlineStr">
        <is>
          <t>c. 1200 BCE to 300 BCE</t>
        </is>
      </c>
      <c r="H76" s="2" t="inlineStr">
        <is>
          <t>Tyre</t>
        </is>
      </c>
      <c r="I76" s="2" t="inlineStr">
        <is>
          <t>Site</t>
        </is>
      </c>
      <c r="J76" s="2" t="inlineStr">
        <is>
          <t>Archaeology</t>
        </is>
      </c>
      <c r="K76" s="2" t="inlineStr">
        <is>
          <t>Maritime trade</t>
        </is>
      </c>
      <c r="L76" s="2" t="inlineStr">
        <is>
          <t>Phoenician urbanism</t>
        </is>
      </c>
      <c r="M76" s="2" t="inlineStr">
        <is>
          <t>Lebanon</t>
        </is>
      </c>
      <c r="N76" s="2" t="inlineStr">
        <is>
          <t>Phoenician coast</t>
        </is>
      </c>
      <c r="O76" s="2" t="inlineStr">
        <is>
          <t>Island-coastal city central to Phoenician expansion.</t>
        </is>
      </c>
      <c r="P76" s="2" t="inlineStr">
        <is>
          <t>Useful for maritime networks and cultural diffusion questions.</t>
        </is>
      </c>
      <c r="Q76" s="2" t="inlineStr">
        <is>
          <t>Medium</t>
        </is>
      </c>
      <c r="R76" s="2" t="inlineStr">
        <is>
          <t>Not applicable</t>
        </is>
      </c>
      <c r="S76" s="2" t="inlineStr">
        <is>
          <t>Medium</t>
        </is>
      </c>
      <c r="T76" s="2" t="inlineStr">
        <is>
          <t>UNESCO</t>
        </is>
      </c>
      <c r="U76" s="8" t="inlineStr">
        <is>
          <t>https://whc.unesco.org/</t>
        </is>
      </c>
      <c r="V76" s="2" t="inlineStr">
        <is>
          <t>Sefaria</t>
        </is>
      </c>
      <c r="W76" s="8" t="inlineStr">
        <is>
          <t>https://www.sefaria.org/</t>
        </is>
      </c>
      <c r="X76" s="2" t="inlineStr">
        <is>
          <t>British Museum Collection</t>
        </is>
      </c>
      <c r="Y76" s="8" t="inlineStr">
        <is>
          <t>https://www.britishmuseum.org/collection</t>
        </is>
      </c>
      <c r="Z76" s="2" t="inlineStr">
        <is>
          <t>UNESCO</t>
        </is>
      </c>
      <c r="AA76" s="8" t="inlineStr">
        <is>
          <t>https://whc.unesco.org/</t>
        </is>
      </c>
      <c r="AB76" s="2" t="inlineStr">
        <is>
          <t>Pleiades</t>
        </is>
      </c>
      <c r="AC76" s="8" t="inlineStr">
        <is>
          <t>https://pleiades.stoa.org/</t>
        </is>
      </c>
      <c r="AD76" s="2" t="inlineStr">
        <is>
          <t>Tyre archaeology</t>
        </is>
      </c>
      <c r="AE76" s="2" t="inlineStr">
        <is>
          <t>Text access stronger than excavation visibility online.</t>
        </is>
      </c>
      <c r="AF76" s="2" t="inlineStr">
        <is>
          <t>Sea routes; colonies</t>
        </is>
      </c>
      <c r="AG76" s="2" t="inlineStr">
        <is>
          <t>Medium</t>
        </is>
      </c>
      <c r="AH76" s="2" t="inlineStr">
        <is>
          <t>Medium</t>
        </is>
      </c>
      <c r="AI76" s="2" t="inlineStr"/>
      <c r="AJ76" t="inlineStr">
        <is>
          <t>https://whc.unesco.org/en/search/?searchterm=Tyre+archaeology</t>
        </is>
      </c>
      <c r="AK76" t="inlineStr">
        <is>
          <t>https://www.sefaria.org/search?q=Tyre+archaeology&amp;tab=text</t>
        </is>
      </c>
      <c r="AL76" t="inlineStr">
        <is>
          <t>https://www.britishmuseum.org/collection/search?keyword=Tyre+archaeology</t>
        </is>
      </c>
      <c r="AM76" t="inlineStr">
        <is>
          <t>https://whc.unesco.org/en/search/?searchterm=Tyre+archaeology</t>
        </is>
      </c>
      <c r="AN76" t="inlineStr">
        <is>
          <t>https://pleiades.stoa.org/search?SearchableText=Tyre+archaeology</t>
        </is>
      </c>
      <c r="AO76" t="inlineStr">
        <is>
          <t>1) Fact base: UNESCO. 2) Translation/text: Sefaria. 3) Images/objects: British Museum Collection. 4) Context/explanation: UNESCO. 5) Geography/maps: Pleiades. Use Suggested_Search_Term inside each portal.</t>
        </is>
      </c>
      <c r="AP76" t="inlineStr">
        <is>
          <t>Mixed: direct portal homepages plus search-result URLs where the portal exposes a public search endpoint.</t>
        </is>
      </c>
    </row>
    <row r="77">
      <c r="A77" s="2" t="n">
        <v>76</v>
      </c>
      <c r="B77" s="7" t="inlineStr">
        <is>
          <t>BCE_to_1AD</t>
        </is>
      </c>
      <c r="C77" s="2" t="inlineStr">
        <is>
          <t>Levant / Israel / Phoenicia</t>
        </is>
      </c>
      <c r="D77" s="2" t="inlineStr">
        <is>
          <t>Levantine traditions</t>
        </is>
      </c>
      <c r="E77" s="2" t="n">
        <v>-1200</v>
      </c>
      <c r="F77" s="2" t="n">
        <v>-300</v>
      </c>
      <c r="G77" s="2" t="inlineStr">
        <is>
          <t>c. 1200 BCE to 300 BCE</t>
        </is>
      </c>
      <c r="H77" s="2" t="inlineStr">
        <is>
          <t>Sidon</t>
        </is>
      </c>
      <c r="I77" s="2" t="inlineStr">
        <is>
          <t>Site</t>
        </is>
      </c>
      <c r="J77" s="2" t="inlineStr">
        <is>
          <t>Archaeology</t>
        </is>
      </c>
      <c r="K77" s="2" t="inlineStr">
        <is>
          <t>Phoenician urbanism</t>
        </is>
      </c>
      <c r="L77" s="2" t="inlineStr">
        <is>
          <t>Burials</t>
        </is>
      </c>
      <c r="M77" s="2" t="inlineStr">
        <is>
          <t>Lebanon</t>
        </is>
      </c>
      <c r="N77" s="2" t="inlineStr">
        <is>
          <t>Phoenician coast</t>
        </is>
      </c>
      <c r="O77" s="2" t="inlineStr">
        <is>
          <t>Major Phoenician city with royal sarcophagi and inscriptions.</t>
        </is>
      </c>
      <c r="P77" s="2" t="inlineStr">
        <is>
          <t>Good object-rich entry point into Phoenician elite culture.</t>
        </is>
      </c>
      <c r="Q77" s="2" t="inlineStr">
        <is>
          <t>Low</t>
        </is>
      </c>
      <c r="R77" s="2" t="inlineStr">
        <is>
          <t>Not applicable</t>
        </is>
      </c>
      <c r="S77" s="2" t="inlineStr">
        <is>
          <t>High</t>
        </is>
      </c>
      <c r="T77" s="2" t="inlineStr">
        <is>
          <t>UNESCO</t>
        </is>
      </c>
      <c r="U77" s="8" t="inlineStr">
        <is>
          <t>https://whc.unesco.org/</t>
        </is>
      </c>
      <c r="V77" s="2" t="inlineStr">
        <is>
          <t>Sefaria</t>
        </is>
      </c>
      <c r="W77" s="8" t="inlineStr">
        <is>
          <t>https://www.sefaria.org/</t>
        </is>
      </c>
      <c r="X77" s="2" t="inlineStr">
        <is>
          <t>British Museum Collection</t>
        </is>
      </c>
      <c r="Y77" s="8" t="inlineStr">
        <is>
          <t>https://www.britishmuseum.org/collection</t>
        </is>
      </c>
      <c r="Z77" s="2" t="inlineStr">
        <is>
          <t>UNESCO</t>
        </is>
      </c>
      <c r="AA77" s="8" t="inlineStr">
        <is>
          <t>https://whc.unesco.org/</t>
        </is>
      </c>
      <c r="AB77" s="2" t="inlineStr">
        <is>
          <t>Pleiades</t>
        </is>
      </c>
      <c r="AC77" s="8" t="inlineStr">
        <is>
          <t>https://pleiades.stoa.org/</t>
        </is>
      </c>
      <c r="AD77" s="2" t="inlineStr">
        <is>
          <t>Sidon sarcophagus inscriptions</t>
        </is>
      </c>
      <c r="AE77" s="2" t="inlineStr">
        <is>
          <t>Museum object pages are especially useful here.</t>
        </is>
      </c>
      <c r="AF77" s="2" t="inlineStr">
        <is>
          <t>Burial; kingship; alphabet</t>
        </is>
      </c>
      <c r="AG77" s="2" t="inlineStr">
        <is>
          <t>Medium</t>
        </is>
      </c>
      <c r="AH77" s="2" t="inlineStr">
        <is>
          <t>Medium</t>
        </is>
      </c>
      <c r="AI77" s="2" t="inlineStr"/>
      <c r="AJ77" t="inlineStr">
        <is>
          <t>https://whc.unesco.org/en/search/?searchterm=Sidon+sarcophagus+inscriptions</t>
        </is>
      </c>
      <c r="AK77" t="inlineStr">
        <is>
          <t>https://www.sefaria.org/search?q=Sidon+sarcophagus+inscriptions&amp;tab=text</t>
        </is>
      </c>
      <c r="AL77" t="inlineStr">
        <is>
          <t>https://www.britishmuseum.org/collection/search?keyword=Sidon+sarcophagus+inscriptions</t>
        </is>
      </c>
      <c r="AM77" t="inlineStr">
        <is>
          <t>https://whc.unesco.org/en/search/?searchterm=Sidon+sarcophagus+inscriptions</t>
        </is>
      </c>
      <c r="AN77" t="inlineStr">
        <is>
          <t>https://pleiades.stoa.org/search?SearchableText=Sidon+sarcophagus+inscriptions</t>
        </is>
      </c>
      <c r="AO77" t="inlineStr">
        <is>
          <t>1) Fact base: UNESCO. 2) Translation/text: Sefaria. 3) Images/objects: British Museum Collection. 4) Context/explanation: UNESCO. 5) Geography/maps: Pleiades. Use Suggested_Search_Term inside each portal.</t>
        </is>
      </c>
      <c r="AP77" t="inlineStr">
        <is>
          <t>Mixed: direct portal homepages plus search-result URLs where the portal exposes a public search endpoint.</t>
        </is>
      </c>
    </row>
    <row r="78">
      <c r="A78" s="2" t="n">
        <v>77</v>
      </c>
      <c r="B78" s="7" t="inlineStr">
        <is>
          <t>BCE_to_1AD</t>
        </is>
      </c>
      <c r="C78" s="2" t="inlineStr">
        <is>
          <t>Levant / Israel / Phoenicia</t>
        </is>
      </c>
      <c r="D78" s="2" t="inlineStr">
        <is>
          <t>Levantine traditions</t>
        </is>
      </c>
      <c r="E78" s="2" t="n">
        <v>-1000</v>
      </c>
      <c r="F78" s="2" t="n">
        <v>-100</v>
      </c>
      <c r="G78" s="2" t="inlineStr">
        <is>
          <t>c. 1000 BCE to 100 BCE</t>
        </is>
      </c>
      <c r="H78" s="2" t="inlineStr">
        <is>
          <t>Hebrew Bible / Tanakh BCE strata</t>
        </is>
      </c>
      <c r="I78" s="2" t="inlineStr">
        <is>
          <t>Text tradition</t>
        </is>
      </c>
      <c r="J78" s="2" t="inlineStr">
        <is>
          <t>Scroll/manuscript tradition</t>
        </is>
      </c>
      <c r="K78" s="2" t="inlineStr">
        <is>
          <t>Creation</t>
        </is>
      </c>
      <c r="L78" s="2" t="inlineStr">
        <is>
          <t>History and law</t>
        </is>
      </c>
      <c r="M78" s="2" t="inlineStr">
        <is>
          <t>Israel/Palestine</t>
        </is>
      </c>
      <c r="N78" s="2" t="inlineStr">
        <is>
          <t>Ancient Israel and Judah</t>
        </is>
      </c>
      <c r="O78" s="2" t="inlineStr">
        <is>
          <t>Composite corpus preserving law, narrative, prophecy, wisdom, and historical memory rooted in BCE traditions.</t>
        </is>
      </c>
      <c r="P78" s="2" t="inlineStr">
        <is>
          <t>Central for creation, flood, exodus, monarchy, and prophetic history.</t>
        </is>
      </c>
      <c r="Q78" s="2" t="inlineStr">
        <is>
          <t>High</t>
        </is>
      </c>
      <c r="R78" s="2" t="inlineStr">
        <is>
          <t>High</t>
        </is>
      </c>
      <c r="S78" s="2" t="inlineStr">
        <is>
          <t>Low</t>
        </is>
      </c>
      <c r="T78" s="2" t="inlineStr">
        <is>
          <t>Sefaria</t>
        </is>
      </c>
      <c r="U78" s="8" t="inlineStr">
        <is>
          <t>https://www.sefaria.org/</t>
        </is>
      </c>
      <c r="V78" s="2" t="inlineStr">
        <is>
          <t>Sefaria</t>
        </is>
      </c>
      <c r="W78" s="8" t="inlineStr">
        <is>
          <t>https://www.sefaria.org/</t>
        </is>
      </c>
      <c r="X78" s="2" t="inlineStr">
        <is>
          <t>British Museum Collection</t>
        </is>
      </c>
      <c r="Y78" s="8" t="inlineStr">
        <is>
          <t>https://www.britishmuseum.org/collection</t>
        </is>
      </c>
      <c r="Z78" s="2" t="inlineStr">
        <is>
          <t>UNESCO</t>
        </is>
      </c>
      <c r="AA78" s="8" t="inlineStr">
        <is>
          <t>https://whc.unesco.org/</t>
        </is>
      </c>
      <c r="AB78" s="2" t="inlineStr">
        <is>
          <t>Pleiades</t>
        </is>
      </c>
      <c r="AC78" s="8" t="inlineStr">
        <is>
          <t>https://pleiades.stoa.org/</t>
        </is>
      </c>
      <c r="AD78" s="2" t="inlineStr">
        <is>
          <t>Tanakh Sefaria</t>
        </is>
      </c>
      <c r="AE78" s="2" t="inlineStr">
        <is>
          <t>Book dates vary widely; track composition layers and manuscript witnesses.</t>
        </is>
      </c>
      <c r="AF78" s="2" t="inlineStr">
        <is>
          <t>Creation; flood; covenant; kingship</t>
        </is>
      </c>
      <c r="AG78" s="2" t="inlineStr">
        <is>
          <t>Critical</t>
        </is>
      </c>
      <c r="AH78" s="2" t="inlineStr">
        <is>
          <t>High</t>
        </is>
      </c>
      <c r="AI78" s="2" t="inlineStr"/>
      <c r="AJ78" t="inlineStr">
        <is>
          <t>https://www.sefaria.org/search?q=Tanakh+Sefaria&amp;tab=text</t>
        </is>
      </c>
      <c r="AK78" t="inlineStr">
        <is>
          <t>https://www.sefaria.org/search?q=Tanakh+Sefaria&amp;tab=text</t>
        </is>
      </c>
      <c r="AL78" t="inlineStr">
        <is>
          <t>https://www.britishmuseum.org/collection/search?keyword=Tanakh+Sefaria</t>
        </is>
      </c>
      <c r="AM78" t="inlineStr">
        <is>
          <t>https://whc.unesco.org/en/search/?searchterm=Tanakh+Sefaria</t>
        </is>
      </c>
      <c r="AN78" t="inlineStr">
        <is>
          <t>https://pleiades.stoa.org/search?SearchableText=Tanakh+Sefaria</t>
        </is>
      </c>
      <c r="AO78" t="inlineStr">
        <is>
          <t>1) Fact base: Sefaria. 2) Translation/text: Sefaria. 3) Images/objects: British Museum Collection. 4) Context/explanation: UNESCO. 5) Geography/maps: Pleiades. Use Suggested_Search_Term inside each portal.</t>
        </is>
      </c>
      <c r="AP78" t="inlineStr">
        <is>
          <t>Mixed: direct portal homepages plus search-result URLs where the portal exposes a public search endpoint.</t>
        </is>
      </c>
    </row>
    <row r="79">
      <c r="A79" s="2" t="n">
        <v>78</v>
      </c>
      <c r="B79" s="7" t="inlineStr">
        <is>
          <t>BCE_to_1AD</t>
        </is>
      </c>
      <c r="C79" s="2" t="inlineStr">
        <is>
          <t>Levant / Israel / Phoenicia</t>
        </is>
      </c>
      <c r="D79" s="2" t="inlineStr">
        <is>
          <t>Levantine traditions</t>
        </is>
      </c>
      <c r="E79" s="2" t="n">
        <v>-900</v>
      </c>
      <c r="F79" s="2" t="n">
        <v>-400</v>
      </c>
      <c r="G79" s="2" t="inlineStr">
        <is>
          <t>c. 900 BCE to 400 BCE</t>
        </is>
      </c>
      <c r="H79" s="2" t="inlineStr">
        <is>
          <t>Genesis creation and primeval history</t>
        </is>
      </c>
      <c r="I79" s="2" t="inlineStr">
        <is>
          <t>Text</t>
        </is>
      </c>
      <c r="J79" s="2" t="inlineStr">
        <is>
          <t>Scroll/manuscript tradition</t>
        </is>
      </c>
      <c r="K79" s="2" t="inlineStr">
        <is>
          <t>Creation</t>
        </is>
      </c>
      <c r="L79" s="2" t="inlineStr">
        <is>
          <t>Flood</t>
        </is>
      </c>
      <c r="M79" s="2" t="inlineStr">
        <is>
          <t>Israel/Palestine</t>
        </is>
      </c>
      <c r="N79" s="2" t="inlineStr">
        <is>
          <t>Hebrew Bible primeval history</t>
        </is>
      </c>
      <c r="O79" s="2" t="inlineStr">
        <is>
          <t>Genesis 1-11 including creation, Eden, Cain, flood, and Babel narratives.</t>
        </is>
      </c>
      <c r="P79" s="2" t="inlineStr">
        <is>
          <t>The most important comparative text for primeval-history reconstruction.</t>
        </is>
      </c>
      <c r="Q79" s="2" t="inlineStr">
        <is>
          <t>High</t>
        </is>
      </c>
      <c r="R79" s="2" t="inlineStr">
        <is>
          <t>High</t>
        </is>
      </c>
      <c r="S79" s="2" t="inlineStr">
        <is>
          <t>Low</t>
        </is>
      </c>
      <c r="T79" s="2" t="inlineStr">
        <is>
          <t>Sefaria</t>
        </is>
      </c>
      <c r="U79" s="8" t="inlineStr">
        <is>
          <t>https://www.sefaria.org/</t>
        </is>
      </c>
      <c r="V79" s="2" t="inlineStr">
        <is>
          <t>Sefaria</t>
        </is>
      </c>
      <c r="W79" s="8" t="inlineStr">
        <is>
          <t>https://www.sefaria.org/</t>
        </is>
      </c>
      <c r="X79" s="2" t="inlineStr">
        <is>
          <t>British Museum Collection</t>
        </is>
      </c>
      <c r="Y79" s="8" t="inlineStr">
        <is>
          <t>https://www.britishmuseum.org/collection</t>
        </is>
      </c>
      <c r="Z79" s="2" t="inlineStr">
        <is>
          <t>UNESCO</t>
        </is>
      </c>
      <c r="AA79" s="8" t="inlineStr">
        <is>
          <t>https://whc.unesco.org/</t>
        </is>
      </c>
      <c r="AB79" s="2" t="inlineStr">
        <is>
          <t>Pleiades</t>
        </is>
      </c>
      <c r="AC79" s="8" t="inlineStr">
        <is>
          <t>https://pleiades.stoa.org/</t>
        </is>
      </c>
      <c r="AD79" s="2" t="inlineStr">
        <is>
          <t>Genesis Sefaria</t>
        </is>
      </c>
      <c r="AE79" s="2" t="inlineStr">
        <is>
          <t>Read against Mesopotamian parallels rather than in isolation.</t>
        </is>
      </c>
      <c r="AF79" s="2" t="inlineStr">
        <is>
          <t>Creation; Eden; flood; Babel</t>
        </is>
      </c>
      <c r="AG79" s="2" t="inlineStr">
        <is>
          <t>Critical</t>
        </is>
      </c>
      <c r="AH79" s="2" t="inlineStr">
        <is>
          <t>High</t>
        </is>
      </c>
      <c r="AI79" s="2" t="inlineStr"/>
      <c r="AJ79" t="inlineStr">
        <is>
          <t>https://www.sefaria.org/search?q=Genesis+Sefaria&amp;tab=text</t>
        </is>
      </c>
      <c r="AK79" t="inlineStr">
        <is>
          <t>https://www.sefaria.org/search?q=Genesis+Sefaria&amp;tab=text</t>
        </is>
      </c>
      <c r="AL79" t="inlineStr">
        <is>
          <t>https://www.britishmuseum.org/collection/search?keyword=Genesis+Sefaria</t>
        </is>
      </c>
      <c r="AM79" t="inlineStr">
        <is>
          <t>https://whc.unesco.org/en/search/?searchterm=Genesis+Sefaria</t>
        </is>
      </c>
      <c r="AN79" t="inlineStr">
        <is>
          <t>https://pleiades.stoa.org/search?SearchableText=Genesis+Sefaria</t>
        </is>
      </c>
      <c r="AO79" t="inlineStr">
        <is>
          <t>1) Fact base: Sefaria. 2) Translation/text: Sefaria. 3) Images/objects: British Museum Collection. 4) Context/explanation: UNESCO. 5) Geography/maps: Pleiades. Use Suggested_Search_Term inside each portal.</t>
        </is>
      </c>
      <c r="AP79" t="inlineStr">
        <is>
          <t>Mixed: direct portal homepages plus search-result URLs where the portal exposes a public search endpoint.</t>
        </is>
      </c>
    </row>
    <row r="80">
      <c r="A80" s="2" t="n">
        <v>79</v>
      </c>
      <c r="B80" s="7" t="inlineStr">
        <is>
          <t>BCE_to_1AD</t>
        </is>
      </c>
      <c r="C80" s="2" t="inlineStr">
        <is>
          <t>Levant / Israel / Phoenicia</t>
        </is>
      </c>
      <c r="D80" s="2" t="inlineStr">
        <is>
          <t>Levantine traditions</t>
        </is>
      </c>
      <c r="E80" s="2" t="n">
        <v>-300</v>
      </c>
      <c r="F80" s="2" t="n">
        <v>-100</v>
      </c>
      <c r="G80" s="2" t="inlineStr">
        <is>
          <t>c. 300 BCE to 100 BCE</t>
        </is>
      </c>
      <c r="H80" s="2" t="inlineStr">
        <is>
          <t>Dead Sea Scrolls</t>
        </is>
      </c>
      <c r="I80" s="2" t="inlineStr">
        <is>
          <t>Manuscript corpus</t>
        </is>
      </c>
      <c r="J80" s="2" t="inlineStr">
        <is>
          <t>Scroll fragments</t>
        </is>
      </c>
      <c r="K80" s="2" t="inlineStr">
        <is>
          <t>Scripture</t>
        </is>
      </c>
      <c r="L80" s="2" t="inlineStr">
        <is>
          <t>Second Temple Judaism</t>
        </is>
      </c>
      <c r="M80" s="2" t="inlineStr">
        <is>
          <t>Israel/Palestine</t>
        </is>
      </c>
      <c r="N80" s="2" t="inlineStr">
        <is>
          <t>Qumran and Judean Desert</t>
        </is>
      </c>
      <c r="O80" s="2" t="inlineStr">
        <is>
          <t>Collection of biblical and sectarian manuscripts preserved in caves near the Dead Sea.</t>
        </is>
      </c>
      <c r="P80" s="2" t="inlineStr">
        <is>
          <t>Best primary image source for late BCE Jewish manuscript culture.</t>
        </is>
      </c>
      <c r="Q80" s="2" t="inlineStr">
        <is>
          <t>High</t>
        </is>
      </c>
      <c r="R80" s="2" t="inlineStr">
        <is>
          <t>High</t>
        </is>
      </c>
      <c r="S80" s="2" t="inlineStr">
        <is>
          <t>High</t>
        </is>
      </c>
      <c r="T80" s="2" t="inlineStr">
        <is>
          <t>Leon Levy Dead Sea Scrolls</t>
        </is>
      </c>
      <c r="U80" s="8" t="inlineStr">
        <is>
          <t>https://www.deadseascrolls.org.il/</t>
        </is>
      </c>
      <c r="V80" s="2" t="inlineStr">
        <is>
          <t>Leon Levy Dead Sea Scrolls</t>
        </is>
      </c>
      <c r="W80" s="8" t="inlineStr">
        <is>
          <t>https://www.deadseascrolls.org.il/</t>
        </is>
      </c>
      <c r="X80" s="2" t="inlineStr">
        <is>
          <t>British Museum Collection</t>
        </is>
      </c>
      <c r="Y80" s="8" t="inlineStr">
        <is>
          <t>https://www.britishmuseum.org/collection</t>
        </is>
      </c>
      <c r="Z80" s="2" t="inlineStr">
        <is>
          <t>UNESCO</t>
        </is>
      </c>
      <c r="AA80" s="8" t="inlineStr">
        <is>
          <t>https://whc.unesco.org/</t>
        </is>
      </c>
      <c r="AB80" s="2" t="inlineStr">
        <is>
          <t>Pleiades</t>
        </is>
      </c>
      <c r="AC80" s="8" t="inlineStr">
        <is>
          <t>https://pleiades.stoa.org/</t>
        </is>
      </c>
      <c r="AD80" s="2" t="inlineStr">
        <is>
          <t>Dead Sea Scrolls Digital Library</t>
        </is>
      </c>
      <c r="AE80" s="2" t="inlineStr">
        <is>
          <t>Fragment-level metadata matters; avoid generic summary pages only.</t>
        </is>
      </c>
      <c r="AF80" s="2" t="inlineStr">
        <is>
          <t>Scripture; apocalypse; textual transmission</t>
        </is>
      </c>
      <c r="AG80" s="2" t="inlineStr">
        <is>
          <t>Critical</t>
        </is>
      </c>
      <c r="AH80" s="2" t="inlineStr">
        <is>
          <t>High</t>
        </is>
      </c>
      <c r="AI80" s="2" t="inlineStr"/>
      <c r="AJ80" t="inlineStr">
        <is>
          <t>https://www.deadseascrolls.org.il/</t>
        </is>
      </c>
      <c r="AK80" t="inlineStr">
        <is>
          <t>https://www.deadseascrolls.org.il/</t>
        </is>
      </c>
      <c r="AL80" t="inlineStr">
        <is>
          <t>https://www.britishmuseum.org/collection/search?keyword=Dead+Sea+Scrolls+Digital+Library</t>
        </is>
      </c>
      <c r="AM80" t="inlineStr">
        <is>
          <t>https://whc.unesco.org/en/search/?searchterm=Dead+Sea+Scrolls+Digital+Library</t>
        </is>
      </c>
      <c r="AN80" t="inlineStr">
        <is>
          <t>https://pleiades.stoa.org/search?SearchableText=Dead+Sea+Scrolls+Digital+Library</t>
        </is>
      </c>
      <c r="AO80" t="inlineStr">
        <is>
          <t>1) Fact base: Leon Levy Dead Sea Scrolls. 2) Translation/text: Leon Levy Dead Sea Scrolls. 3) Images/objects: British Museum Collection. 4) Context/explanation: UNESCO. 5) Geography/maps: Pleiades. Use Suggested_Search_Term inside each portal.</t>
        </is>
      </c>
      <c r="AP80" t="inlineStr">
        <is>
          <t>Mixed: direct portal homepages plus search-result URLs where the portal exposes a public search endpoint.</t>
        </is>
      </c>
    </row>
    <row r="81">
      <c r="A81" s="2" t="n">
        <v>80</v>
      </c>
      <c r="B81" s="7" t="inlineStr">
        <is>
          <t>BCE_to_1AD</t>
        </is>
      </c>
      <c r="C81" s="2" t="inlineStr">
        <is>
          <t>Levant / Israel / Phoenicia</t>
        </is>
      </c>
      <c r="D81" s="2" t="inlineStr">
        <is>
          <t>Levantine traditions</t>
        </is>
      </c>
      <c r="E81" s="2" t="n">
        <v>-300</v>
      </c>
      <c r="F81" s="2" t="n">
        <v>-100</v>
      </c>
      <c r="G81" s="2" t="inlineStr">
        <is>
          <t>c. 300 BCE to 100 BCE</t>
        </is>
      </c>
      <c r="H81" s="2" t="inlineStr">
        <is>
          <t>1 Enoch (Second Temple witness tradition)</t>
        </is>
      </c>
      <c r="I81" s="2" t="inlineStr">
        <is>
          <t>Text tradition</t>
        </is>
      </c>
      <c r="J81" s="2" t="inlineStr">
        <is>
          <t>Scroll + later manuscript tradition</t>
        </is>
      </c>
      <c r="K81" s="2" t="inlineStr">
        <is>
          <t>Watchers</t>
        </is>
      </c>
      <c r="L81" s="2" t="inlineStr">
        <is>
          <t>Apocalypse</t>
        </is>
      </c>
      <c r="M81" s="2" t="inlineStr">
        <is>
          <t>Israel/Palestine / Ethiopia</t>
        </is>
      </c>
      <c r="N81" s="2" t="inlineStr">
        <is>
          <t>Second Temple Jewish literature</t>
        </is>
      </c>
      <c r="O81" s="2" t="inlineStr">
        <is>
          <t>Apocalyptic work including Watchers, heavenly journeys, and primordial corruption motifs.</t>
        </is>
      </c>
      <c r="P81" s="2" t="inlineStr">
        <is>
          <t>Central to ancient-astronaut and pre-flood reinterpretations.</t>
        </is>
      </c>
      <c r="Q81" s="2" t="inlineStr">
        <is>
          <t>High</t>
        </is>
      </c>
      <c r="R81" s="2" t="inlineStr">
        <is>
          <t>High</t>
        </is>
      </c>
      <c r="S81" s="2" t="inlineStr">
        <is>
          <t>Medium</t>
        </is>
      </c>
      <c r="T81" s="2" t="inlineStr">
        <is>
          <t>Leon Levy Dead Sea Scrolls</t>
        </is>
      </c>
      <c r="U81" s="8" t="inlineStr">
        <is>
          <t>https://www.deadseascrolls.org.il/</t>
        </is>
      </c>
      <c r="V81" s="2" t="inlineStr">
        <is>
          <t>Leon Levy Dead Sea Scrolls</t>
        </is>
      </c>
      <c r="W81" s="8" t="inlineStr">
        <is>
          <t>https://www.deadseascrolls.org.il/</t>
        </is>
      </c>
      <c r="X81" s="2" t="inlineStr">
        <is>
          <t>British Museum Collection</t>
        </is>
      </c>
      <c r="Y81" s="8" t="inlineStr">
        <is>
          <t>https://www.britishmuseum.org/collection</t>
        </is>
      </c>
      <c r="Z81" s="2" t="inlineStr">
        <is>
          <t>UNESCO</t>
        </is>
      </c>
      <c r="AA81" s="8" t="inlineStr">
        <is>
          <t>https://whc.unesco.org/</t>
        </is>
      </c>
      <c r="AB81" s="2" t="inlineStr">
        <is>
          <t>Pleiades</t>
        </is>
      </c>
      <c r="AC81" s="8" t="inlineStr">
        <is>
          <t>https://pleiades.stoa.org/</t>
        </is>
      </c>
      <c r="AD81" s="2" t="inlineStr">
        <is>
          <t>1 Enoch Dead Sea Scrolls</t>
        </is>
      </c>
      <c r="AE81" s="2" t="inlineStr">
        <is>
          <t>Survives fully in later Ethiopic tradition; Qumran preserves fragments.</t>
        </is>
      </c>
      <c r="AF81" s="2" t="inlineStr">
        <is>
          <t>Watchers; giants; forbidden knowledge</t>
        </is>
      </c>
      <c r="AG81" s="2" t="inlineStr">
        <is>
          <t>Critical</t>
        </is>
      </c>
      <c r="AH81" s="2" t="inlineStr">
        <is>
          <t>High</t>
        </is>
      </c>
      <c r="AI81" s="2" t="inlineStr"/>
      <c r="AJ81" t="inlineStr">
        <is>
          <t>https://www.deadseascrolls.org.il/</t>
        </is>
      </c>
      <c r="AK81" t="inlineStr">
        <is>
          <t>https://www.deadseascrolls.org.il/</t>
        </is>
      </c>
      <c r="AL81" t="inlineStr">
        <is>
          <t>https://www.britishmuseum.org/collection/search?keyword=1+Enoch+Dead+Sea+Scrolls</t>
        </is>
      </c>
      <c r="AM81" t="inlineStr">
        <is>
          <t>https://whc.unesco.org/en/search/?searchterm=1+Enoch+Dead+Sea+Scrolls</t>
        </is>
      </c>
      <c r="AN81" t="inlineStr">
        <is>
          <t>https://pleiades.stoa.org/search?SearchableText=1+Enoch+Dead+Sea+Scrolls</t>
        </is>
      </c>
      <c r="AO81" t="inlineStr">
        <is>
          <t>1) Fact base: Leon Levy Dead Sea Scrolls. 2) Translation/text: Leon Levy Dead Sea Scrolls. 3) Images/objects: British Museum Collection. 4) Context/explanation: UNESCO. 5) Geography/maps: Pleiades. Use Suggested_Search_Term inside each portal.</t>
        </is>
      </c>
      <c r="AP81" t="inlineStr">
        <is>
          <t>Mixed: direct portal homepages plus search-result URLs where the portal exposes a public search endpoint.</t>
        </is>
      </c>
    </row>
    <row r="82">
      <c r="A82" s="2" t="n">
        <v>81</v>
      </c>
      <c r="B82" s="7" t="inlineStr">
        <is>
          <t>BCE_to_1AD</t>
        </is>
      </c>
      <c r="C82" s="2" t="inlineStr">
        <is>
          <t>Levant / Israel / Phoenicia</t>
        </is>
      </c>
      <c r="D82" s="2" t="inlineStr">
        <is>
          <t>Levantine traditions</t>
        </is>
      </c>
      <c r="E82" s="2" t="n">
        <v>-200</v>
      </c>
      <c r="F82" s="2" t="n">
        <v>-100</v>
      </c>
      <c r="G82" s="2" t="inlineStr">
        <is>
          <t>c. 200 BCE to 100 BCE</t>
        </is>
      </c>
      <c r="H82" s="2" t="inlineStr">
        <is>
          <t>Jubilees</t>
        </is>
      </c>
      <c r="I82" s="2" t="inlineStr">
        <is>
          <t>Text</t>
        </is>
      </c>
      <c r="J82" s="2" t="inlineStr">
        <is>
          <t>Scroll/manuscript tradition</t>
        </is>
      </c>
      <c r="K82" s="2" t="inlineStr">
        <is>
          <t>Rewritten scripture</t>
        </is>
      </c>
      <c r="L82" s="2" t="inlineStr">
        <is>
          <t>Primeval chronology</t>
        </is>
      </c>
      <c r="M82" s="2" t="inlineStr">
        <is>
          <t>Israel/Palestine</t>
        </is>
      </c>
      <c r="N82" s="2" t="inlineStr">
        <is>
          <t>Second Temple Jewish literature</t>
        </is>
      </c>
      <c r="O82" s="2" t="inlineStr">
        <is>
          <t>Text reworking Genesis and Exodus with calendrical and angelic emphasis.</t>
        </is>
      </c>
      <c r="P82" s="2" t="inlineStr">
        <is>
          <t>Very useful for structured primeval chronology and interpretation.</t>
        </is>
      </c>
      <c r="Q82" s="2" t="inlineStr">
        <is>
          <t>High</t>
        </is>
      </c>
      <c r="R82" s="2" t="inlineStr">
        <is>
          <t>High</t>
        </is>
      </c>
      <c r="S82" s="2" t="inlineStr">
        <is>
          <t>Medium</t>
        </is>
      </c>
      <c r="T82" s="2" t="inlineStr">
        <is>
          <t>Leon Levy Dead Sea Scrolls</t>
        </is>
      </c>
      <c r="U82" s="8" t="inlineStr">
        <is>
          <t>https://www.deadseascrolls.org.il/</t>
        </is>
      </c>
      <c r="V82" s="2" t="inlineStr">
        <is>
          <t>Leon Levy Dead Sea Scrolls</t>
        </is>
      </c>
      <c r="W82" s="8" t="inlineStr">
        <is>
          <t>https://www.deadseascrolls.org.il/</t>
        </is>
      </c>
      <c r="X82" s="2" t="inlineStr">
        <is>
          <t>British Museum Collection</t>
        </is>
      </c>
      <c r="Y82" s="8" t="inlineStr">
        <is>
          <t>https://www.britishmuseum.org/collection</t>
        </is>
      </c>
      <c r="Z82" s="2" t="inlineStr">
        <is>
          <t>UNESCO</t>
        </is>
      </c>
      <c r="AA82" s="8" t="inlineStr">
        <is>
          <t>https://whc.unesco.org/</t>
        </is>
      </c>
      <c r="AB82" s="2" t="inlineStr">
        <is>
          <t>Pleiades</t>
        </is>
      </c>
      <c r="AC82" s="8" t="inlineStr">
        <is>
          <t>https://pleiades.stoa.org/</t>
        </is>
      </c>
      <c r="AD82" s="2" t="inlineStr">
        <is>
          <t>Jubilees translation</t>
        </is>
      </c>
      <c r="AE82" s="2" t="inlineStr">
        <is>
          <t>Qumran fragments + later witnesses.</t>
        </is>
      </c>
      <c r="AF82" s="2" t="inlineStr">
        <is>
          <t>Creation calendar; flood chronology</t>
        </is>
      </c>
      <c r="AG82" s="2" t="inlineStr">
        <is>
          <t>High</t>
        </is>
      </c>
      <c r="AH82" s="2" t="inlineStr">
        <is>
          <t>High</t>
        </is>
      </c>
      <c r="AI82" s="2" t="inlineStr"/>
      <c r="AJ82" t="inlineStr">
        <is>
          <t>https://www.deadseascrolls.org.il/</t>
        </is>
      </c>
      <c r="AK82" t="inlineStr">
        <is>
          <t>https://www.deadseascrolls.org.il/</t>
        </is>
      </c>
      <c r="AL82" t="inlineStr">
        <is>
          <t>https://www.britishmuseum.org/collection/search?keyword=Jubilees+translation</t>
        </is>
      </c>
      <c r="AM82" t="inlineStr">
        <is>
          <t>https://whc.unesco.org/en/search/?searchterm=Jubilees+translation</t>
        </is>
      </c>
      <c r="AN82" t="inlineStr">
        <is>
          <t>https://pleiades.stoa.org/search?SearchableText=Jubilees+translation</t>
        </is>
      </c>
      <c r="AO82" t="inlineStr">
        <is>
          <t>1) Fact base: Leon Levy Dead Sea Scrolls. 2) Translation/text: Leon Levy Dead Sea Scrolls. 3) Images/objects: British Museum Collection. 4) Context/explanation: UNESCO. 5) Geography/maps: Pleiades. Use Suggested_Search_Term inside each portal.</t>
        </is>
      </c>
      <c r="AP82" t="inlineStr">
        <is>
          <t>Mixed: direct portal homepages plus search-result URLs where the portal exposes a public search endpoint.</t>
        </is>
      </c>
    </row>
    <row r="83">
      <c r="A83" s="2" t="n">
        <v>82</v>
      </c>
      <c r="B83" s="7" t="inlineStr">
        <is>
          <t>BCE_to_1AD</t>
        </is>
      </c>
      <c r="C83" s="2" t="inlineStr">
        <is>
          <t>Levant / Israel / Phoenicia</t>
        </is>
      </c>
      <c r="D83" s="2" t="inlineStr">
        <is>
          <t>Levantine traditions</t>
        </is>
      </c>
      <c r="E83" s="2" t="n">
        <v>-840</v>
      </c>
      <c r="F83" s="2" t="n">
        <v>-840</v>
      </c>
      <c r="G83" s="2" t="inlineStr">
        <is>
          <t>c. 840 BCE</t>
        </is>
      </c>
      <c r="H83" s="2" t="inlineStr">
        <is>
          <t>Mesha Stele</t>
        </is>
      </c>
      <c r="I83" s="2" t="inlineStr">
        <is>
          <t>Inscription</t>
        </is>
      </c>
      <c r="J83" s="2" t="inlineStr">
        <is>
          <t>Stone stele</t>
        </is>
      </c>
      <c r="K83" s="2" t="inlineStr">
        <is>
          <t>Kingship</t>
        </is>
      </c>
      <c r="L83" s="2" t="inlineStr">
        <is>
          <t>Historical memory</t>
        </is>
      </c>
      <c r="M83" s="2" t="inlineStr">
        <is>
          <t>Jordan</t>
        </is>
      </c>
      <c r="N83" s="2" t="inlineStr">
        <is>
          <t>Moab</t>
        </is>
      </c>
      <c r="O83" s="2" t="inlineStr">
        <is>
          <t>Moabite royal inscription describing conflict with Israel and devotion to Chemosh.</t>
        </is>
      </c>
      <c r="P83" s="2" t="inlineStr">
        <is>
          <t>Excellent epigraphic control text for Iron Age Levantine history.</t>
        </is>
      </c>
      <c r="Q83" s="2" t="inlineStr">
        <is>
          <t>Medium</t>
        </is>
      </c>
      <c r="R83" s="2" t="inlineStr">
        <is>
          <t>High</t>
        </is>
      </c>
      <c r="S83" s="2" t="inlineStr">
        <is>
          <t>High</t>
        </is>
      </c>
      <c r="T83" s="2" t="inlineStr">
        <is>
          <t>UNESCO</t>
        </is>
      </c>
      <c r="U83" s="8" t="inlineStr">
        <is>
          <t>https://whc.unesco.org/</t>
        </is>
      </c>
      <c r="V83" s="2" t="inlineStr">
        <is>
          <t>Sefaria</t>
        </is>
      </c>
      <c r="W83" s="8" t="inlineStr">
        <is>
          <t>https://www.sefaria.org/</t>
        </is>
      </c>
      <c r="X83" s="2" t="inlineStr">
        <is>
          <t>British Museum Collection</t>
        </is>
      </c>
      <c r="Y83" s="8" t="inlineStr">
        <is>
          <t>https://www.britishmuseum.org/collection</t>
        </is>
      </c>
      <c r="Z83" s="2" t="inlineStr">
        <is>
          <t>UNESCO</t>
        </is>
      </c>
      <c r="AA83" s="8" t="inlineStr">
        <is>
          <t>https://whc.unesco.org/</t>
        </is>
      </c>
      <c r="AB83" s="2" t="inlineStr">
        <is>
          <t>Pleiades</t>
        </is>
      </c>
      <c r="AC83" s="8" t="inlineStr">
        <is>
          <t>https://pleiades.stoa.org/</t>
        </is>
      </c>
      <c r="AD83" s="2" t="inlineStr">
        <is>
          <t>Mesha Stele</t>
        </is>
      </c>
      <c r="AE83" s="2" t="inlineStr">
        <is>
          <t>Good corrective against purely literary reconstruction.</t>
        </is>
      </c>
      <c r="AF83" s="2" t="inlineStr">
        <is>
          <t>Kingship; national gods</t>
        </is>
      </c>
      <c r="AG83" s="2" t="inlineStr">
        <is>
          <t>High</t>
        </is>
      </c>
      <c r="AH83" s="2" t="inlineStr">
        <is>
          <t>Medium</t>
        </is>
      </c>
      <c r="AI83" s="2" t="inlineStr"/>
      <c r="AJ83" t="inlineStr">
        <is>
          <t>https://whc.unesco.org/en/search/?searchterm=Mesha+Stele</t>
        </is>
      </c>
      <c r="AK83" t="inlineStr">
        <is>
          <t>https://www.sefaria.org/search?q=Mesha+Stele&amp;tab=text</t>
        </is>
      </c>
      <c r="AL83" t="inlineStr">
        <is>
          <t>https://www.britishmuseum.org/collection/search?keyword=Mesha+Stele</t>
        </is>
      </c>
      <c r="AM83" t="inlineStr">
        <is>
          <t>https://whc.unesco.org/en/search/?searchterm=Mesha+Stele</t>
        </is>
      </c>
      <c r="AN83" t="inlineStr">
        <is>
          <t>https://pleiades.stoa.org/search?SearchableText=Mesha+Stele</t>
        </is>
      </c>
      <c r="AO83" t="inlineStr">
        <is>
          <t>1) Fact base: UNESCO. 2) Translation/text: Sefaria. 3) Images/objects: British Museum Collection. 4) Context/explanation: UNESCO. 5) Geography/maps: Pleiades. Use Suggested_Search_Term inside each portal.</t>
        </is>
      </c>
      <c r="AP83" t="inlineStr">
        <is>
          <t>Mixed: direct portal homepages plus search-result URLs where the portal exposes a public search endpoint.</t>
        </is>
      </c>
    </row>
    <row r="84">
      <c r="A84" s="2" t="n">
        <v>83</v>
      </c>
      <c r="B84" s="7" t="inlineStr">
        <is>
          <t>BCE_to_1AD</t>
        </is>
      </c>
      <c r="C84" s="2" t="inlineStr">
        <is>
          <t>Levant / Israel / Phoenicia</t>
        </is>
      </c>
      <c r="D84" s="2" t="inlineStr">
        <is>
          <t>Levantine traditions</t>
        </is>
      </c>
      <c r="E84" s="2" t="n">
        <v>-850</v>
      </c>
      <c r="F84" s="2" t="n">
        <v>-700</v>
      </c>
      <c r="G84" s="2" t="inlineStr">
        <is>
          <t>c. 850 BCE to 700 BCE</t>
        </is>
      </c>
      <c r="H84" s="2" t="inlineStr">
        <is>
          <t>Tel Dan Stele</t>
        </is>
      </c>
      <c r="I84" s="2" t="inlineStr">
        <is>
          <t>Inscription</t>
        </is>
      </c>
      <c r="J84" s="2" t="inlineStr">
        <is>
          <t>Stone fragments</t>
        </is>
      </c>
      <c r="K84" s="2" t="inlineStr">
        <is>
          <t>Dynasty</t>
        </is>
      </c>
      <c r="L84" s="2" t="inlineStr">
        <is>
          <t>Historical memory</t>
        </is>
      </c>
      <c r="M84" s="2" t="inlineStr">
        <is>
          <t>Israel</t>
        </is>
      </c>
      <c r="N84" s="2" t="inlineStr">
        <is>
          <t>Northern Levant</t>
        </is>
      </c>
      <c r="O84" s="2" t="inlineStr">
        <is>
          <t>Aramaic royal inscription fragments mentioning conflict and likely the 'House of David'.</t>
        </is>
      </c>
      <c r="P84" s="2" t="inlineStr">
        <is>
          <t>Important epigraphic point for Judah/Israel historical debate.</t>
        </is>
      </c>
      <c r="Q84" s="2" t="inlineStr">
        <is>
          <t>Medium</t>
        </is>
      </c>
      <c r="R84" s="2" t="inlineStr">
        <is>
          <t>High</t>
        </is>
      </c>
      <c r="S84" s="2" t="inlineStr">
        <is>
          <t>High</t>
        </is>
      </c>
      <c r="T84" s="2" t="inlineStr">
        <is>
          <t>UNESCO</t>
        </is>
      </c>
      <c r="U84" s="8" t="inlineStr">
        <is>
          <t>https://whc.unesco.org/</t>
        </is>
      </c>
      <c r="V84" s="2" t="inlineStr">
        <is>
          <t>Sefaria</t>
        </is>
      </c>
      <c r="W84" s="8" t="inlineStr">
        <is>
          <t>https://www.sefaria.org/</t>
        </is>
      </c>
      <c r="X84" s="2" t="inlineStr">
        <is>
          <t>British Museum Collection</t>
        </is>
      </c>
      <c r="Y84" s="8" t="inlineStr">
        <is>
          <t>https://www.britishmuseum.org/collection</t>
        </is>
      </c>
      <c r="Z84" s="2" t="inlineStr">
        <is>
          <t>UNESCO</t>
        </is>
      </c>
      <c r="AA84" s="8" t="inlineStr">
        <is>
          <t>https://whc.unesco.org/</t>
        </is>
      </c>
      <c r="AB84" s="2" t="inlineStr">
        <is>
          <t>Pleiades</t>
        </is>
      </c>
      <c r="AC84" s="8" t="inlineStr">
        <is>
          <t>https://pleiades.stoa.org/</t>
        </is>
      </c>
      <c r="AD84" s="2" t="inlineStr">
        <is>
          <t>Tel Dan Stele</t>
        </is>
      </c>
      <c r="AE84" s="2" t="inlineStr">
        <is>
          <t>Fragmentary but historically important.</t>
        </is>
      </c>
      <c r="AF84" s="2" t="inlineStr">
        <is>
          <t>Dynasty; Levantine politics</t>
        </is>
      </c>
      <c r="AG84" s="2" t="inlineStr">
        <is>
          <t>High</t>
        </is>
      </c>
      <c r="AH84" s="2" t="inlineStr">
        <is>
          <t>Medium</t>
        </is>
      </c>
      <c r="AI84" s="2" t="inlineStr"/>
      <c r="AJ84" t="inlineStr">
        <is>
          <t>https://whc.unesco.org/en/search/?searchterm=Tel+Dan+Stele</t>
        </is>
      </c>
      <c r="AK84" t="inlineStr">
        <is>
          <t>https://www.sefaria.org/search?q=Tel+Dan+Stele&amp;tab=text</t>
        </is>
      </c>
      <c r="AL84" t="inlineStr">
        <is>
          <t>https://www.britishmuseum.org/collection/search?keyword=Tel+Dan+Stele</t>
        </is>
      </c>
      <c r="AM84" t="inlineStr">
        <is>
          <t>https://whc.unesco.org/en/search/?searchterm=Tel+Dan+Stele</t>
        </is>
      </c>
      <c r="AN84" t="inlineStr">
        <is>
          <t>https://pleiades.stoa.org/search?SearchableText=Tel+Dan+Stele</t>
        </is>
      </c>
      <c r="AO84" t="inlineStr">
        <is>
          <t>1) Fact base: UNESCO. 2) Translation/text: Sefaria. 3) Images/objects: British Museum Collection. 4) Context/explanation: UNESCO. 5) Geography/maps: Pleiades. Use Suggested_Search_Term inside each portal.</t>
        </is>
      </c>
      <c r="AP84" t="inlineStr">
        <is>
          <t>Mixed: direct portal homepages plus search-result URLs where the portal exposes a public search endpoint.</t>
        </is>
      </c>
    </row>
    <row r="85">
      <c r="A85" s="2" t="n">
        <v>84</v>
      </c>
      <c r="B85" s="7" t="inlineStr">
        <is>
          <t>BCE_to_1AD</t>
        </is>
      </c>
      <c r="C85" s="2" t="inlineStr">
        <is>
          <t>Levant / Israel / Phoenicia</t>
        </is>
      </c>
      <c r="D85" s="2" t="inlineStr">
        <is>
          <t>Levantine traditions</t>
        </is>
      </c>
      <c r="E85" s="2" t="n">
        <v>-700</v>
      </c>
      <c r="F85" s="2" t="n">
        <v>-700</v>
      </c>
      <c r="G85" s="2" t="inlineStr">
        <is>
          <t>c. 700 BCE</t>
        </is>
      </c>
      <c r="H85" s="2" t="inlineStr">
        <is>
          <t>Siloam Inscription</t>
        </is>
      </c>
      <c r="I85" s="2" t="inlineStr">
        <is>
          <t>Inscription</t>
        </is>
      </c>
      <c r="J85" s="2" t="inlineStr">
        <is>
          <t>Tunnel inscription</t>
        </is>
      </c>
      <c r="K85" s="2" t="inlineStr">
        <is>
          <t>Engineering</t>
        </is>
      </c>
      <c r="L85" s="2" t="inlineStr">
        <is>
          <t>Jerusalem</t>
        </is>
      </c>
      <c r="M85" s="2" t="inlineStr">
        <is>
          <t>Israel/Palestine</t>
        </is>
      </c>
      <c r="N85" s="2" t="inlineStr">
        <is>
          <t>Jerusalem</t>
        </is>
      </c>
      <c r="O85" s="2" t="inlineStr">
        <is>
          <t>Hebrew inscription commemorating tunnel excavation in Jerusalem.</t>
        </is>
      </c>
      <c r="P85" s="2" t="inlineStr">
        <is>
          <t>Excellent concrete inscription tying text to infrastructure.</t>
        </is>
      </c>
      <c r="Q85" s="2" t="inlineStr">
        <is>
          <t>Low</t>
        </is>
      </c>
      <c r="R85" s="2" t="inlineStr">
        <is>
          <t>High</t>
        </is>
      </c>
      <c r="S85" s="2" t="inlineStr">
        <is>
          <t>High</t>
        </is>
      </c>
      <c r="T85" s="2" t="inlineStr">
        <is>
          <t>UNESCO</t>
        </is>
      </c>
      <c r="U85" s="8" t="inlineStr">
        <is>
          <t>https://whc.unesco.org/</t>
        </is>
      </c>
      <c r="V85" s="2" t="inlineStr">
        <is>
          <t>Sefaria</t>
        </is>
      </c>
      <c r="W85" s="8" t="inlineStr">
        <is>
          <t>https://www.sefaria.org/</t>
        </is>
      </c>
      <c r="X85" s="2" t="inlineStr">
        <is>
          <t>British Museum Collection</t>
        </is>
      </c>
      <c r="Y85" s="8" t="inlineStr">
        <is>
          <t>https://www.britishmuseum.org/collection</t>
        </is>
      </c>
      <c r="Z85" s="2" t="inlineStr">
        <is>
          <t>UNESCO</t>
        </is>
      </c>
      <c r="AA85" s="8" t="inlineStr">
        <is>
          <t>https://whc.unesco.org/</t>
        </is>
      </c>
      <c r="AB85" s="2" t="inlineStr">
        <is>
          <t>Pleiades</t>
        </is>
      </c>
      <c r="AC85" s="8" t="inlineStr">
        <is>
          <t>https://pleiades.stoa.org/</t>
        </is>
      </c>
      <c r="AD85" s="2" t="inlineStr">
        <is>
          <t>Siloam inscription</t>
        </is>
      </c>
      <c r="AE85" s="2" t="inlineStr">
        <is>
          <t>Useful control object for script and urban works.</t>
        </is>
      </c>
      <c r="AF85" s="2" t="inlineStr">
        <is>
          <t>Water systems; royal city</t>
        </is>
      </c>
      <c r="AG85" s="2" t="inlineStr">
        <is>
          <t>Medium</t>
        </is>
      </c>
      <c r="AH85" s="2" t="inlineStr">
        <is>
          <t>Medium</t>
        </is>
      </c>
      <c r="AI85" s="2" t="inlineStr"/>
      <c r="AJ85" t="inlineStr">
        <is>
          <t>https://whc.unesco.org/en/search/?searchterm=Siloam+inscription</t>
        </is>
      </c>
      <c r="AK85" t="inlineStr">
        <is>
          <t>https://www.sefaria.org/search?q=Siloam+inscription&amp;tab=text</t>
        </is>
      </c>
      <c r="AL85" t="inlineStr">
        <is>
          <t>https://www.britishmuseum.org/collection/search?keyword=Siloam+inscription</t>
        </is>
      </c>
      <c r="AM85" t="inlineStr">
        <is>
          <t>https://whc.unesco.org/en/search/?searchterm=Siloam+inscription</t>
        </is>
      </c>
      <c r="AN85" t="inlineStr">
        <is>
          <t>https://pleiades.stoa.org/search?SearchableText=Siloam+inscription</t>
        </is>
      </c>
      <c r="AO85" t="inlineStr">
        <is>
          <t>1) Fact base: UNESCO. 2) Translation/text: Sefaria. 3) Images/objects: British Museum Collection. 4) Context/explanation: UNESCO. 5) Geography/maps: Pleiades. Use Suggested_Search_Term inside each portal.</t>
        </is>
      </c>
      <c r="AP85" t="inlineStr">
        <is>
          <t>Mixed: direct portal homepages plus search-result URLs where the portal exposes a public search endpoint.</t>
        </is>
      </c>
    </row>
    <row r="86">
      <c r="A86" s="2" t="n">
        <v>85</v>
      </c>
      <c r="B86" s="7" t="inlineStr">
        <is>
          <t>BCE_to_1AD</t>
        </is>
      </c>
      <c r="C86" s="2" t="inlineStr">
        <is>
          <t>Levant / Israel / Phoenicia</t>
        </is>
      </c>
      <c r="D86" s="2" t="inlineStr">
        <is>
          <t>Levantine traditions</t>
        </is>
      </c>
      <c r="E86" s="2" t="n">
        <v>-650</v>
      </c>
      <c r="F86" s="2" t="n">
        <v>-600</v>
      </c>
      <c r="G86" s="2" t="inlineStr">
        <is>
          <t>c. 650 BCE to 600 BCE</t>
        </is>
      </c>
      <c r="H86" s="2" t="inlineStr">
        <is>
          <t>Ketef Hinnom amulets</t>
        </is>
      </c>
      <c r="I86" s="2" t="inlineStr">
        <is>
          <t>Artifact corpus</t>
        </is>
      </c>
      <c r="J86" s="2" t="inlineStr">
        <is>
          <t>Silver scrolls</t>
        </is>
      </c>
      <c r="K86" s="2" t="inlineStr">
        <is>
          <t>Blessing texts</t>
        </is>
      </c>
      <c r="L86" s="2" t="inlineStr">
        <is>
          <t>Manuscript culture</t>
        </is>
      </c>
      <c r="M86" s="2" t="inlineStr">
        <is>
          <t>Israel/Palestine</t>
        </is>
      </c>
      <c r="N86" s="2" t="inlineStr">
        <is>
          <t>Jerusalem</t>
        </is>
      </c>
      <c r="O86" s="2" t="inlineStr">
        <is>
          <t>Tiny silver amulets inscribed with priestly blessing text.</t>
        </is>
      </c>
      <c r="P86" s="2" t="inlineStr">
        <is>
          <t>Among the oldest known biblical-text witnesses in material form.</t>
        </is>
      </c>
      <c r="Q86" s="2" t="inlineStr">
        <is>
          <t>High</t>
        </is>
      </c>
      <c r="R86" s="2" t="inlineStr">
        <is>
          <t>High</t>
        </is>
      </c>
      <c r="S86" s="2" t="inlineStr">
        <is>
          <t>High</t>
        </is>
      </c>
      <c r="T86" s="2" t="inlineStr">
        <is>
          <t>UNESCO</t>
        </is>
      </c>
      <c r="U86" s="8" t="inlineStr">
        <is>
          <t>https://whc.unesco.org/</t>
        </is>
      </c>
      <c r="V86" s="2" t="inlineStr">
        <is>
          <t>Sefaria</t>
        </is>
      </c>
      <c r="W86" s="8" t="inlineStr">
        <is>
          <t>https://www.sefaria.org/</t>
        </is>
      </c>
      <c r="X86" s="2" t="inlineStr">
        <is>
          <t>British Museum Collection</t>
        </is>
      </c>
      <c r="Y86" s="8" t="inlineStr">
        <is>
          <t>https://www.britishmuseum.org/collection</t>
        </is>
      </c>
      <c r="Z86" s="2" t="inlineStr">
        <is>
          <t>UNESCO</t>
        </is>
      </c>
      <c r="AA86" s="8" t="inlineStr">
        <is>
          <t>https://whc.unesco.org/</t>
        </is>
      </c>
      <c r="AB86" s="2" t="inlineStr">
        <is>
          <t>Pleiades</t>
        </is>
      </c>
      <c r="AC86" s="8" t="inlineStr">
        <is>
          <t>https://pleiades.stoa.org/</t>
        </is>
      </c>
      <c r="AD86" s="2" t="inlineStr">
        <is>
          <t>Ketef Hinnom</t>
        </is>
      </c>
      <c r="AE86" s="2" t="inlineStr">
        <is>
          <t>Vital for text transmission studies.</t>
        </is>
      </c>
      <c r="AF86" s="2" t="inlineStr">
        <is>
          <t>Blessings; scripture before canon</t>
        </is>
      </c>
      <c r="AG86" s="2" t="inlineStr">
        <is>
          <t>High</t>
        </is>
      </c>
      <c r="AH86" s="2" t="inlineStr">
        <is>
          <t>High</t>
        </is>
      </c>
      <c r="AI86" s="2" t="inlineStr"/>
      <c r="AJ86" t="inlineStr">
        <is>
          <t>https://whc.unesco.org/en/search/?searchterm=Ketef+Hinnom</t>
        </is>
      </c>
      <c r="AK86" t="inlineStr">
        <is>
          <t>https://www.sefaria.org/search?q=Ketef+Hinnom&amp;tab=text</t>
        </is>
      </c>
      <c r="AL86" t="inlineStr">
        <is>
          <t>https://www.britishmuseum.org/collection/search?keyword=Ketef+Hinnom</t>
        </is>
      </c>
      <c r="AM86" t="inlineStr">
        <is>
          <t>https://whc.unesco.org/en/search/?searchterm=Ketef+Hinnom</t>
        </is>
      </c>
      <c r="AN86" t="inlineStr">
        <is>
          <t>https://pleiades.stoa.org/search?SearchableText=Ketef+Hinnom</t>
        </is>
      </c>
      <c r="AO86" t="inlineStr">
        <is>
          <t>1) Fact base: UNESCO. 2) Translation/text: Sefaria. 3) Images/objects: British Museum Collection. 4) Context/explanation: UNESCO. 5) Geography/maps: Pleiades. Use Suggested_Search_Term inside each portal.</t>
        </is>
      </c>
      <c r="AP86" t="inlineStr">
        <is>
          <t>Mixed: direct portal homepages plus search-result URLs where the portal exposes a public search endpoint.</t>
        </is>
      </c>
    </row>
    <row r="87">
      <c r="A87" s="2" t="n">
        <v>86</v>
      </c>
      <c r="B87" s="7" t="inlineStr">
        <is>
          <t>BCE_to_1AD</t>
        </is>
      </c>
      <c r="C87" s="2" t="inlineStr">
        <is>
          <t>Levant / Israel / Phoenicia</t>
        </is>
      </c>
      <c r="D87" s="2" t="inlineStr">
        <is>
          <t>Levantine traditions</t>
        </is>
      </c>
      <c r="E87" s="2" t="n">
        <v>-800</v>
      </c>
      <c r="F87" s="2" t="n">
        <v>-700</v>
      </c>
      <c r="G87" s="2" t="inlineStr">
        <is>
          <t>c. 800 BCE to 700 BCE</t>
        </is>
      </c>
      <c r="H87" s="2" t="inlineStr">
        <is>
          <t>Kuntillet Ajrud inscriptions</t>
        </is>
      </c>
      <c r="I87" s="2" t="inlineStr">
        <is>
          <t>Inscription corpus</t>
        </is>
      </c>
      <c r="J87" s="2" t="inlineStr">
        <is>
          <t>Wall/plaster/pithos texts</t>
        </is>
      </c>
      <c r="K87" s="2" t="inlineStr">
        <is>
          <t>Religion</t>
        </is>
      </c>
      <c r="L87" s="2" t="inlineStr">
        <is>
          <t>Yahwism</t>
        </is>
      </c>
      <c r="M87" s="2" t="inlineStr">
        <is>
          <t>Sinai/Israel</t>
        </is>
      </c>
      <c r="N87" s="2" t="inlineStr">
        <is>
          <t>Northern Sinai</t>
        </is>
      </c>
      <c r="O87" s="2" t="inlineStr">
        <is>
          <t>Inscriptions and drawings preserving references to Yahweh and his Asherah.</t>
        </is>
      </c>
      <c r="P87" s="2" t="inlineStr">
        <is>
          <t>Important for reconstructing lived religion rather than only canonical theology.</t>
        </is>
      </c>
      <c r="Q87" s="2" t="inlineStr">
        <is>
          <t>High</t>
        </is>
      </c>
      <c r="R87" s="2" t="inlineStr">
        <is>
          <t>Partial</t>
        </is>
      </c>
      <c r="S87" s="2" t="inlineStr">
        <is>
          <t>High</t>
        </is>
      </c>
      <c r="T87" s="2" t="inlineStr">
        <is>
          <t>UNESCO</t>
        </is>
      </c>
      <c r="U87" s="8" t="inlineStr">
        <is>
          <t>https://whc.unesco.org/</t>
        </is>
      </c>
      <c r="V87" s="2" t="inlineStr">
        <is>
          <t>Sefaria</t>
        </is>
      </c>
      <c r="W87" s="8" t="inlineStr">
        <is>
          <t>https://www.sefaria.org/</t>
        </is>
      </c>
      <c r="X87" s="2" t="inlineStr">
        <is>
          <t>British Museum Collection</t>
        </is>
      </c>
      <c r="Y87" s="8" t="inlineStr">
        <is>
          <t>https://www.britishmuseum.org/collection</t>
        </is>
      </c>
      <c r="Z87" s="2" t="inlineStr">
        <is>
          <t>UNESCO</t>
        </is>
      </c>
      <c r="AA87" s="8" t="inlineStr">
        <is>
          <t>https://whc.unesco.org/</t>
        </is>
      </c>
      <c r="AB87" s="2" t="inlineStr">
        <is>
          <t>Pleiades</t>
        </is>
      </c>
      <c r="AC87" s="8" t="inlineStr">
        <is>
          <t>https://pleiades.stoa.org/</t>
        </is>
      </c>
      <c r="AD87" s="2" t="inlineStr">
        <is>
          <t>Kuntillet Ajrud inscriptions</t>
        </is>
      </c>
      <c r="AE87" s="2" t="inlineStr">
        <is>
          <t>Context and drawings should be read together.</t>
        </is>
      </c>
      <c r="AF87" s="2" t="inlineStr">
        <is>
          <t>Popular religion; divine pairings</t>
        </is>
      </c>
      <c r="AG87" s="2" t="inlineStr">
        <is>
          <t>High</t>
        </is>
      </c>
      <c r="AH87" s="2" t="inlineStr">
        <is>
          <t>High</t>
        </is>
      </c>
      <c r="AI87" s="2" t="inlineStr"/>
      <c r="AJ87" t="inlineStr">
        <is>
          <t>https://whc.unesco.org/en/search/?searchterm=Kuntillet+Ajrud+inscriptions</t>
        </is>
      </c>
      <c r="AK87" t="inlineStr">
        <is>
          <t>https://www.sefaria.org/search?q=Kuntillet+Ajrud+inscriptions&amp;tab=text</t>
        </is>
      </c>
      <c r="AL87" t="inlineStr">
        <is>
          <t>https://www.britishmuseum.org/collection/search?keyword=Kuntillet+Ajrud+inscriptions</t>
        </is>
      </c>
      <c r="AM87" t="inlineStr">
        <is>
          <t>https://whc.unesco.org/en/search/?searchterm=Kuntillet+Ajrud+inscriptions</t>
        </is>
      </c>
      <c r="AN87" t="inlineStr">
        <is>
          <t>https://pleiades.stoa.org/search?SearchableText=Kuntillet+Ajrud+inscriptions</t>
        </is>
      </c>
      <c r="AO87" t="inlineStr">
        <is>
          <t>1) Fact base: UNESCO. 2) Translation/text: Sefaria. 3) Images/objects: British Museum Collection. 4) Context/explanation: UNESCO. 5) Geography/maps: Pleiades. Use Suggested_Search_Term inside each portal.</t>
        </is>
      </c>
      <c r="AP87" t="inlineStr">
        <is>
          <t>Mixed: direct portal homepages plus search-result URLs where the portal exposes a public search endpoint.</t>
        </is>
      </c>
    </row>
    <row r="88">
      <c r="A88" s="2" t="n">
        <v>87</v>
      </c>
      <c r="B88" s="7" t="inlineStr">
        <is>
          <t>BCE_to_1AD</t>
        </is>
      </c>
      <c r="C88" s="2" t="inlineStr">
        <is>
          <t>Levant / Israel / Phoenicia</t>
        </is>
      </c>
      <c r="D88" s="2" t="inlineStr">
        <is>
          <t>Levantine traditions</t>
        </is>
      </c>
      <c r="E88" s="2" t="n">
        <v>-950</v>
      </c>
      <c r="F88" s="2" t="n">
        <v>-900</v>
      </c>
      <c r="G88" s="2" t="inlineStr">
        <is>
          <t>c. 950 BCE to 900 BCE</t>
        </is>
      </c>
      <c r="H88" s="2" t="inlineStr">
        <is>
          <t>Gezer Calendar</t>
        </is>
      </c>
      <c r="I88" s="2" t="inlineStr">
        <is>
          <t>Inscription</t>
        </is>
      </c>
      <c r="J88" s="2" t="inlineStr">
        <is>
          <t>Limestone tablet</t>
        </is>
      </c>
      <c r="K88" s="2" t="inlineStr">
        <is>
          <t>Agriculture</t>
        </is>
      </c>
      <c r="L88" s="2" t="inlineStr">
        <is>
          <t>Early Hebrew writing</t>
        </is>
      </c>
      <c r="M88" s="2" t="inlineStr">
        <is>
          <t>Israel</t>
        </is>
      </c>
      <c r="N88" s="2" t="inlineStr">
        <is>
          <t>Gezer</t>
        </is>
      </c>
      <c r="O88" s="2" t="inlineStr">
        <is>
          <t>Short inscription listing agricultural seasons/tasks.</t>
        </is>
      </c>
      <c r="P88" s="2" t="inlineStr">
        <is>
          <t>Handy early script witness and calendar comparison point.</t>
        </is>
      </c>
      <c r="Q88" s="2" t="inlineStr">
        <is>
          <t>Low</t>
        </is>
      </c>
      <c r="R88" s="2" t="inlineStr">
        <is>
          <t>High</t>
        </is>
      </c>
      <c r="S88" s="2" t="inlineStr">
        <is>
          <t>High</t>
        </is>
      </c>
      <c r="T88" s="2" t="inlineStr">
        <is>
          <t>UNESCO</t>
        </is>
      </c>
      <c r="U88" s="8" t="inlineStr">
        <is>
          <t>https://whc.unesco.org/</t>
        </is>
      </c>
      <c r="V88" s="2" t="inlineStr">
        <is>
          <t>Sefaria</t>
        </is>
      </c>
      <c r="W88" s="8" t="inlineStr">
        <is>
          <t>https://www.sefaria.org/</t>
        </is>
      </c>
      <c r="X88" s="2" t="inlineStr">
        <is>
          <t>British Museum Collection</t>
        </is>
      </c>
      <c r="Y88" s="8" t="inlineStr">
        <is>
          <t>https://www.britishmuseum.org/collection</t>
        </is>
      </c>
      <c r="Z88" s="2" t="inlineStr">
        <is>
          <t>UNESCO</t>
        </is>
      </c>
      <c r="AA88" s="8" t="inlineStr">
        <is>
          <t>https://whc.unesco.org/</t>
        </is>
      </c>
      <c r="AB88" s="2" t="inlineStr">
        <is>
          <t>Pleiades</t>
        </is>
      </c>
      <c r="AC88" s="8" t="inlineStr">
        <is>
          <t>https://pleiades.stoa.org/</t>
        </is>
      </c>
      <c r="AD88" s="2" t="inlineStr">
        <is>
          <t>Gezer Calendar</t>
        </is>
      </c>
      <c r="AE88" s="2" t="inlineStr">
        <is>
          <t>Small but useful historical control item.</t>
        </is>
      </c>
      <c r="AF88" s="2" t="inlineStr">
        <is>
          <t>Calendrics; agrarian year</t>
        </is>
      </c>
      <c r="AG88" s="2" t="inlineStr">
        <is>
          <t>Medium</t>
        </is>
      </c>
      <c r="AH88" s="2" t="inlineStr">
        <is>
          <t>Low</t>
        </is>
      </c>
      <c r="AI88" s="2" t="inlineStr"/>
      <c r="AJ88" t="inlineStr">
        <is>
          <t>https://whc.unesco.org/en/search/?searchterm=Gezer+Calendar</t>
        </is>
      </c>
      <c r="AK88" t="inlineStr">
        <is>
          <t>https://www.sefaria.org/search?q=Gezer+Calendar&amp;tab=text</t>
        </is>
      </c>
      <c r="AL88" t="inlineStr">
        <is>
          <t>https://www.britishmuseum.org/collection/search?keyword=Gezer+Calendar</t>
        </is>
      </c>
      <c r="AM88" t="inlineStr">
        <is>
          <t>https://whc.unesco.org/en/search/?searchterm=Gezer+Calendar</t>
        </is>
      </c>
      <c r="AN88" t="inlineStr">
        <is>
          <t>https://pleiades.stoa.org/search?SearchableText=Gezer+Calendar</t>
        </is>
      </c>
      <c r="AO88" t="inlineStr">
        <is>
          <t>1) Fact base: UNESCO. 2) Translation/text: Sefaria. 3) Images/objects: British Museum Collection. 4) Context/explanation: UNESCO. 5) Geography/maps: Pleiades. Use Suggested_Search_Term inside each portal.</t>
        </is>
      </c>
      <c r="AP88" t="inlineStr">
        <is>
          <t>Mixed: direct portal homepages plus search-result URLs where the portal exposes a public search endpoint.</t>
        </is>
      </c>
    </row>
    <row r="89">
      <c r="A89" s="2" t="n">
        <v>88</v>
      </c>
      <c r="B89" s="7" t="inlineStr">
        <is>
          <t>BCE_to_1AD</t>
        </is>
      </c>
      <c r="C89" s="2" t="inlineStr">
        <is>
          <t>Iran / Central Asia</t>
        </is>
      </c>
      <c r="D89" s="2" t="inlineStr">
        <is>
          <t>Iranian and Central Asian traditions</t>
        </is>
      </c>
      <c r="E89" s="2" t="n">
        <v>-520</v>
      </c>
      <c r="F89" s="2" t="n">
        <v>-518</v>
      </c>
      <c r="G89" s="2" t="inlineStr">
        <is>
          <t>c. 520 BCE to 518 BCE</t>
        </is>
      </c>
      <c r="H89" s="2" t="inlineStr">
        <is>
          <t>Behistun Inscription</t>
        </is>
      </c>
      <c r="I89" s="2" t="inlineStr">
        <is>
          <t>Inscription</t>
        </is>
      </c>
      <c r="J89" s="2" t="inlineStr">
        <is>
          <t>Rock inscription</t>
        </is>
      </c>
      <c r="K89" s="2" t="inlineStr">
        <is>
          <t>Empire</t>
        </is>
      </c>
      <c r="L89" s="2" t="inlineStr">
        <is>
          <t>Multilingual text</t>
        </is>
      </c>
      <c r="M89" s="2" t="inlineStr">
        <is>
          <t>Iran</t>
        </is>
      </c>
      <c r="N89" s="2" t="inlineStr">
        <is>
          <t>Achaemenid royal route</t>
        </is>
      </c>
      <c r="O89" s="2" t="inlineStr">
        <is>
          <t>Royal inscription of Darius I in Old Persian, Elamite, and Babylonian.</t>
        </is>
      </c>
      <c r="P89" s="2" t="inlineStr">
        <is>
          <t>Key primary source for Achaemenid ideology and writing systems.</t>
        </is>
      </c>
      <c r="Q89" s="2" t="inlineStr">
        <is>
          <t>Medium</t>
        </is>
      </c>
      <c r="R89" s="2" t="inlineStr">
        <is>
          <t>High</t>
        </is>
      </c>
      <c r="S89" s="2" t="inlineStr">
        <is>
          <t>High</t>
        </is>
      </c>
      <c r="T89" s="2" t="inlineStr">
        <is>
          <t>British Museum Collection</t>
        </is>
      </c>
      <c r="U89" s="8" t="inlineStr">
        <is>
          <t>https://www.britishmuseum.org/collection</t>
        </is>
      </c>
      <c r="V89" s="2" t="inlineStr">
        <is>
          <t>British Museum Collection</t>
        </is>
      </c>
      <c r="W89" s="8" t="inlineStr">
        <is>
          <t>https://www.britishmuseum.org/collection</t>
        </is>
      </c>
      <c r="X89" s="2" t="inlineStr">
        <is>
          <t>British Museum Collection</t>
        </is>
      </c>
      <c r="Y89" s="8" t="inlineStr">
        <is>
          <t>https://www.britishmuseum.org/collection</t>
        </is>
      </c>
      <c r="Z89" s="2" t="inlineStr">
        <is>
          <t>UNESCO</t>
        </is>
      </c>
      <c r="AA89" s="8" t="inlineStr">
        <is>
          <t>https://whc.unesco.org/</t>
        </is>
      </c>
      <c r="AB89" s="2" t="inlineStr">
        <is>
          <t>UNESCO</t>
        </is>
      </c>
      <c r="AC89" s="8" t="inlineStr">
        <is>
          <t>https://whc.unesco.org/</t>
        </is>
      </c>
      <c r="AD89" s="2" t="inlineStr">
        <is>
          <t>Behistun inscription</t>
        </is>
      </c>
      <c r="AE89" s="2" t="inlineStr">
        <is>
          <t>A firm historical control text.</t>
        </is>
      </c>
      <c r="AF89" s="2" t="inlineStr">
        <is>
          <t>Kingship; empire; translation</t>
        </is>
      </c>
      <c r="AG89" s="2" t="inlineStr">
        <is>
          <t>High</t>
        </is>
      </c>
      <c r="AH89" s="2" t="inlineStr">
        <is>
          <t>Medium</t>
        </is>
      </c>
      <c r="AI89" s="2" t="inlineStr"/>
      <c r="AJ89" t="inlineStr">
        <is>
          <t>https://www.britishmuseum.org/collection/search?keyword=Behistun+inscription</t>
        </is>
      </c>
      <c r="AK89" t="inlineStr">
        <is>
          <t>https://www.britishmuseum.org/collection/search?keyword=Behistun+inscription</t>
        </is>
      </c>
      <c r="AL89" t="inlineStr">
        <is>
          <t>https://www.britishmuseum.org/collection/search?keyword=Behistun+inscription</t>
        </is>
      </c>
      <c r="AM89" t="inlineStr">
        <is>
          <t>https://whc.unesco.org/en/search/?searchterm=Behistun+inscription</t>
        </is>
      </c>
      <c r="AN89" t="inlineStr">
        <is>
          <t>https://whc.unesco.org/en/search/?searchterm=Behistun+inscription</t>
        </is>
      </c>
      <c r="AO89" t="inlineStr">
        <is>
          <t>1) Fact base: British Museum Collection. 2) Translation/text: British Museum Collection. 3) Images/objects: British Museum Collection. 4) Context/explanation: UNESCO. 5) Geography/maps: UNESCO. Use Suggested_Search_Term inside each portal.</t>
        </is>
      </c>
      <c r="AP89" t="inlineStr">
        <is>
          <t>Mixed: direct portal homepages plus search-result URLs where the portal exposes a public search endpoint.</t>
        </is>
      </c>
    </row>
    <row r="90">
      <c r="A90" s="2" t="n">
        <v>89</v>
      </c>
      <c r="B90" s="7" t="inlineStr">
        <is>
          <t>BCE_to_1AD</t>
        </is>
      </c>
      <c r="C90" s="2" t="inlineStr">
        <is>
          <t>Iran / Central Asia</t>
        </is>
      </c>
      <c r="D90" s="2" t="inlineStr">
        <is>
          <t>Iranian and Central Asian traditions</t>
        </is>
      </c>
      <c r="E90" s="2" t="n">
        <v>-539</v>
      </c>
      <c r="F90" s="2" t="n">
        <v>-530</v>
      </c>
      <c r="G90" s="2" t="inlineStr">
        <is>
          <t>c. 539 BCE to 530 BCE</t>
        </is>
      </c>
      <c r="H90" s="2" t="inlineStr">
        <is>
          <t>Cyrus Cylinder</t>
        </is>
      </c>
      <c r="I90" s="2" t="inlineStr">
        <is>
          <t>Artifact</t>
        </is>
      </c>
      <c r="J90" s="2" t="inlineStr">
        <is>
          <t>Clay cylinder inscription</t>
        </is>
      </c>
      <c r="K90" s="2" t="inlineStr">
        <is>
          <t>Kingship</t>
        </is>
      </c>
      <c r="L90" s="2" t="inlineStr">
        <is>
          <t>Imperial policy</t>
        </is>
      </c>
      <c r="M90" s="2" t="inlineStr">
        <is>
          <t>Iraq/Iran</t>
        </is>
      </c>
      <c r="N90" s="2" t="inlineStr">
        <is>
          <t>Babylonian context of Cyrus</t>
        </is>
      </c>
      <c r="O90" s="2" t="inlineStr">
        <is>
          <t>Royal inscription recording Cyrus's conquest rhetoric and restoration claims.</t>
        </is>
      </c>
      <c r="P90" s="2" t="inlineStr">
        <is>
          <t>Often mythologized; best used as a concrete imperial inscription.</t>
        </is>
      </c>
      <c r="Q90" s="2" t="inlineStr">
        <is>
          <t>High</t>
        </is>
      </c>
      <c r="R90" s="2" t="inlineStr">
        <is>
          <t>High</t>
        </is>
      </c>
      <c r="S90" s="2" t="inlineStr">
        <is>
          <t>High</t>
        </is>
      </c>
      <c r="T90" s="2" t="inlineStr">
        <is>
          <t>British Museum Collection</t>
        </is>
      </c>
      <c r="U90" s="8" t="inlineStr">
        <is>
          <t>https://www.britishmuseum.org/collection</t>
        </is>
      </c>
      <c r="V90" s="2" t="inlineStr">
        <is>
          <t>British Museum Collection</t>
        </is>
      </c>
      <c r="W90" s="8" t="inlineStr">
        <is>
          <t>https://www.britishmuseum.org/collection</t>
        </is>
      </c>
      <c r="X90" s="2" t="inlineStr">
        <is>
          <t>British Museum Collection</t>
        </is>
      </c>
      <c r="Y90" s="8" t="inlineStr">
        <is>
          <t>https://www.britishmuseum.org/collection</t>
        </is>
      </c>
      <c r="Z90" s="2" t="inlineStr">
        <is>
          <t>UNESCO</t>
        </is>
      </c>
      <c r="AA90" s="8" t="inlineStr">
        <is>
          <t>https://whc.unesco.org/</t>
        </is>
      </c>
      <c r="AB90" s="2" t="inlineStr">
        <is>
          <t>UNESCO</t>
        </is>
      </c>
      <c r="AC90" s="8" t="inlineStr">
        <is>
          <t>https://whc.unesco.org/</t>
        </is>
      </c>
      <c r="AD90" s="2" t="inlineStr">
        <is>
          <t>Cyrus Cylinder</t>
        </is>
      </c>
      <c r="AE90" s="2" t="inlineStr">
        <is>
          <t>Read the inscription rather than modern political summaries.</t>
        </is>
      </c>
      <c r="AF90" s="2" t="inlineStr">
        <is>
          <t>Empire; restoration; divine favor</t>
        </is>
      </c>
      <c r="AG90" s="2" t="inlineStr">
        <is>
          <t>High</t>
        </is>
      </c>
      <c r="AH90" s="2" t="inlineStr">
        <is>
          <t>Medium</t>
        </is>
      </c>
      <c r="AI90" s="2" t="inlineStr"/>
      <c r="AJ90" t="inlineStr">
        <is>
          <t>https://www.britishmuseum.org/collection/search?keyword=Cyrus+Cylinder</t>
        </is>
      </c>
      <c r="AK90" t="inlineStr">
        <is>
          <t>https://www.britishmuseum.org/collection/search?keyword=Cyrus+Cylinder</t>
        </is>
      </c>
      <c r="AL90" t="inlineStr">
        <is>
          <t>https://www.britishmuseum.org/collection/search?keyword=Cyrus+Cylinder</t>
        </is>
      </c>
      <c r="AM90" t="inlineStr">
        <is>
          <t>https://whc.unesco.org/en/search/?searchterm=Cyrus+Cylinder</t>
        </is>
      </c>
      <c r="AN90" t="inlineStr">
        <is>
          <t>https://whc.unesco.org/en/search/?searchterm=Cyrus+Cylinder</t>
        </is>
      </c>
      <c r="AO90" t="inlineStr">
        <is>
          <t>1) Fact base: British Museum Collection. 2) Translation/text: British Museum Collection. 3) Images/objects: British Museum Collection. 4) Context/explanation: UNESCO. 5) Geography/maps: UNESCO. Use Suggested_Search_Term inside each portal.</t>
        </is>
      </c>
      <c r="AP90" t="inlineStr">
        <is>
          <t>Mixed: direct portal homepages plus search-result URLs where the portal exposes a public search endpoint.</t>
        </is>
      </c>
    </row>
    <row r="91">
      <c r="A91" s="2" t="n">
        <v>90</v>
      </c>
      <c r="B91" s="7" t="inlineStr">
        <is>
          <t>BCE_to_1AD</t>
        </is>
      </c>
      <c r="C91" s="2" t="inlineStr">
        <is>
          <t>Iran / Central Asia</t>
        </is>
      </c>
      <c r="D91" s="2" t="inlineStr">
        <is>
          <t>Iranian and Central Asian traditions</t>
        </is>
      </c>
      <c r="E91" s="2" t="n">
        <v>-509</v>
      </c>
      <c r="F91" s="2" t="n">
        <v>-494</v>
      </c>
      <c r="G91" s="2" t="inlineStr">
        <is>
          <t>c. 509 BCE to 494 BCE</t>
        </is>
      </c>
      <c r="H91" s="2" t="inlineStr">
        <is>
          <t>Persepolis Fortification Tablets</t>
        </is>
      </c>
      <c r="I91" s="2" t="inlineStr">
        <is>
          <t>Tablet corpus</t>
        </is>
      </c>
      <c r="J91" s="2" t="inlineStr">
        <is>
          <t>Administrative tablets</t>
        </is>
      </c>
      <c r="K91" s="2" t="inlineStr">
        <is>
          <t>Administration</t>
        </is>
      </c>
      <c r="L91" s="2" t="inlineStr">
        <is>
          <t>Empire</t>
        </is>
      </c>
      <c r="M91" s="2" t="inlineStr">
        <is>
          <t>Iran</t>
        </is>
      </c>
      <c r="N91" s="2" t="inlineStr">
        <is>
          <t>Persepolis</t>
        </is>
      </c>
      <c r="O91" s="2" t="inlineStr">
        <is>
          <t>Archive documenting movement of goods, people, and cultic provisions.</t>
        </is>
      </c>
      <c r="P91" s="2" t="inlineStr">
        <is>
          <t>Shows empire on the ground rather than in monumental rhetoric.</t>
        </is>
      </c>
      <c r="Q91" s="2" t="inlineStr">
        <is>
          <t>Medium</t>
        </is>
      </c>
      <c r="R91" s="2" t="inlineStr">
        <is>
          <t>Partial</t>
        </is>
      </c>
      <c r="S91" s="2" t="inlineStr">
        <is>
          <t>Medium</t>
        </is>
      </c>
      <c r="T91" s="2" t="inlineStr">
        <is>
          <t>British Museum Collection</t>
        </is>
      </c>
      <c r="U91" s="8" t="inlineStr">
        <is>
          <t>https://www.britishmuseum.org/collection</t>
        </is>
      </c>
      <c r="V91" s="2" t="inlineStr">
        <is>
          <t>British Museum Collection</t>
        </is>
      </c>
      <c r="W91" s="8" t="inlineStr">
        <is>
          <t>https://www.britishmuseum.org/collection</t>
        </is>
      </c>
      <c r="X91" s="2" t="inlineStr">
        <is>
          <t>British Museum Collection</t>
        </is>
      </c>
      <c r="Y91" s="8" t="inlineStr">
        <is>
          <t>https://www.britishmuseum.org/collection</t>
        </is>
      </c>
      <c r="Z91" s="2" t="inlineStr">
        <is>
          <t>UNESCO</t>
        </is>
      </c>
      <c r="AA91" s="8" t="inlineStr">
        <is>
          <t>https://whc.unesco.org/</t>
        </is>
      </c>
      <c r="AB91" s="2" t="inlineStr">
        <is>
          <t>UNESCO</t>
        </is>
      </c>
      <c r="AC91" s="8" t="inlineStr">
        <is>
          <t>https://whc.unesco.org/</t>
        </is>
      </c>
      <c r="AD91" s="2" t="inlineStr">
        <is>
          <t>Persepolis Fortification Archive</t>
        </is>
      </c>
      <c r="AE91" s="2" t="inlineStr">
        <is>
          <t>Translations dispersed; use project pages.</t>
        </is>
      </c>
      <c r="AF91" s="2" t="inlineStr">
        <is>
          <t>Imperial logistics; cult offerings</t>
        </is>
      </c>
      <c r="AG91" s="2" t="inlineStr">
        <is>
          <t>High</t>
        </is>
      </c>
      <c r="AH91" s="2" t="inlineStr">
        <is>
          <t>Medium</t>
        </is>
      </c>
      <c r="AI91" s="2" t="inlineStr"/>
      <c r="AJ91" t="inlineStr">
        <is>
          <t>https://www.britishmuseum.org/collection/search?keyword=Persepolis+Fortification+Archive</t>
        </is>
      </c>
      <c r="AK91" t="inlineStr">
        <is>
          <t>https://www.britishmuseum.org/collection/search?keyword=Persepolis+Fortification+Archive</t>
        </is>
      </c>
      <c r="AL91" t="inlineStr">
        <is>
          <t>https://www.britishmuseum.org/collection/search?keyword=Persepolis+Fortification+Archive</t>
        </is>
      </c>
      <c r="AM91" t="inlineStr">
        <is>
          <t>https://whc.unesco.org/en/search/?searchterm=Persepolis+Fortification+Archive</t>
        </is>
      </c>
      <c r="AN91" t="inlineStr">
        <is>
          <t>https://whc.unesco.org/en/search/?searchterm=Persepolis+Fortification+Archive</t>
        </is>
      </c>
      <c r="AO91" t="inlineStr">
        <is>
          <t>1) Fact base: British Museum Collection. 2) Translation/text: British Museum Collection. 3) Images/objects: British Museum Collection. 4) Context/explanation: UNESCO. 5) Geography/maps: UNESCO. Use Suggested_Search_Term inside each portal.</t>
        </is>
      </c>
      <c r="AP91" t="inlineStr">
        <is>
          <t>Mixed: direct portal homepages plus search-result URLs where the portal exposes a public search endpoint.</t>
        </is>
      </c>
    </row>
    <row r="92">
      <c r="A92" s="2" t="n">
        <v>91</v>
      </c>
      <c r="B92" s="7" t="inlineStr">
        <is>
          <t>BCE_to_1AD</t>
        </is>
      </c>
      <c r="C92" s="2" t="inlineStr">
        <is>
          <t>Iran / Central Asia</t>
        </is>
      </c>
      <c r="D92" s="2" t="inlineStr">
        <is>
          <t>Iranian and Central Asian traditions</t>
        </is>
      </c>
      <c r="E92" s="2" t="n">
        <v>-1000</v>
      </c>
      <c r="F92" s="2" t="n">
        <v>-300</v>
      </c>
      <c r="G92" s="2" t="inlineStr">
        <is>
          <t>c. 1000 BCE to 300 BCE</t>
        </is>
      </c>
      <c r="H92" s="2" t="inlineStr">
        <is>
          <t>Avesta / Gathas (ancient Iranian tradition)</t>
        </is>
      </c>
      <c r="I92" s="2" t="inlineStr">
        <is>
          <t>Text tradition</t>
        </is>
      </c>
      <c r="J92" s="2" t="inlineStr">
        <is>
          <t>Later manuscript witness to older oral tradition</t>
        </is>
      </c>
      <c r="K92" s="2" t="inlineStr">
        <is>
          <t>Creation</t>
        </is>
      </c>
      <c r="L92" s="2" t="inlineStr">
        <is>
          <t>Dualism</t>
        </is>
      </c>
      <c r="M92" s="2" t="inlineStr">
        <is>
          <t>Iran/Central Asia</t>
        </is>
      </c>
      <c r="N92" s="2" t="inlineStr">
        <is>
          <t>Ancient Iranian religious tradition</t>
        </is>
      </c>
      <c r="O92" s="2" t="inlineStr">
        <is>
          <t>Core Zoroastrian liturgical corpus preserving ancient Iranian religious language and cosmology.</t>
        </is>
      </c>
      <c r="P92" s="2" t="inlineStr">
        <is>
          <t>Essential for ancient Iranian creation, cosmic conflict, and eschatology.</t>
        </is>
      </c>
      <c r="Q92" s="2" t="inlineStr">
        <is>
          <t>High</t>
        </is>
      </c>
      <c r="R92" s="2" t="inlineStr">
        <is>
          <t>Partial</t>
        </is>
      </c>
      <c r="S92" s="2" t="inlineStr">
        <is>
          <t>Low</t>
        </is>
      </c>
      <c r="T92" s="2" t="inlineStr">
        <is>
          <t>British Museum Collection</t>
        </is>
      </c>
      <c r="U92" s="8" t="inlineStr">
        <is>
          <t>https://www.britishmuseum.org/collection</t>
        </is>
      </c>
      <c r="V92" s="2" t="inlineStr">
        <is>
          <t>Internet Archive</t>
        </is>
      </c>
      <c r="W92" s="8" t="inlineStr">
        <is>
          <t>https://archive.org/</t>
        </is>
      </c>
      <c r="X92" s="2" t="inlineStr">
        <is>
          <t>British Museum Collection</t>
        </is>
      </c>
      <c r="Y92" s="8" t="inlineStr">
        <is>
          <t>https://www.britishmuseum.org/collection</t>
        </is>
      </c>
      <c r="Z92" s="2" t="inlineStr">
        <is>
          <t>UNESCO</t>
        </is>
      </c>
      <c r="AA92" s="8" t="inlineStr">
        <is>
          <t>https://whc.unesco.org/</t>
        </is>
      </c>
      <c r="AB92" s="2" t="inlineStr">
        <is>
          <t>UNESCO</t>
        </is>
      </c>
      <c r="AC92" s="8" t="inlineStr">
        <is>
          <t>https://whc.unesco.org/</t>
        </is>
      </c>
      <c r="AD92" s="2" t="inlineStr">
        <is>
          <t>Avesta Gathas</t>
        </is>
      </c>
      <c r="AE92" s="2" t="inlineStr">
        <is>
          <t>Written witnesses are later; tradition is older.</t>
        </is>
      </c>
      <c r="AF92" s="2" t="inlineStr">
        <is>
          <t>Cosmic dualism; sacred fire</t>
        </is>
      </c>
      <c r="AG92" s="2" t="inlineStr">
        <is>
          <t>Critical</t>
        </is>
      </c>
      <c r="AH92" s="2" t="inlineStr">
        <is>
          <t>High</t>
        </is>
      </c>
      <c r="AI92" s="2" t="inlineStr"/>
      <c r="AJ92" t="inlineStr">
        <is>
          <t>https://www.britishmuseum.org/collection/search?keyword=Avesta+Gathas</t>
        </is>
      </c>
      <c r="AK92" t="inlineStr">
        <is>
          <t>https://archive.org/search?query=Avesta+Gathas</t>
        </is>
      </c>
      <c r="AL92" t="inlineStr">
        <is>
          <t>https://www.britishmuseum.org/collection/search?keyword=Avesta+Gathas</t>
        </is>
      </c>
      <c r="AM92" t="inlineStr">
        <is>
          <t>https://whc.unesco.org/en/search/?searchterm=Avesta+Gathas</t>
        </is>
      </c>
      <c r="AN92" t="inlineStr">
        <is>
          <t>https://whc.unesco.org/en/search/?searchterm=Avesta+Gathas</t>
        </is>
      </c>
      <c r="AO92" t="inlineStr">
        <is>
          <t>1) Fact base: British Museum Collection. 2) Translation/text: Internet Archive. 3) Images/objects: British Museum Collection. 4) Context/explanation: UNESCO. 5) Geography/maps: UNESCO. Use Suggested_Search_Term inside each portal.</t>
        </is>
      </c>
      <c r="AP92" t="inlineStr">
        <is>
          <t>Mixed: direct portal homepages plus search-result URLs where the portal exposes a public search endpoint.</t>
        </is>
      </c>
    </row>
    <row r="93">
      <c r="A93" s="2" t="n">
        <v>92</v>
      </c>
      <c r="B93" s="7" t="inlineStr">
        <is>
          <t>BCE_to_1AD</t>
        </is>
      </c>
      <c r="C93" s="2" t="inlineStr">
        <is>
          <t>Iran / Central Asia</t>
        </is>
      </c>
      <c r="D93" s="2" t="inlineStr">
        <is>
          <t>Iranian and Central Asian traditions</t>
        </is>
      </c>
      <c r="E93" s="2" t="n">
        <v>-520</v>
      </c>
      <c r="F93" s="2" t="n">
        <v>-300</v>
      </c>
      <c r="G93" s="2" t="inlineStr">
        <is>
          <t>c. 520 BCE to 300 BCE</t>
        </is>
      </c>
      <c r="H93" s="2" t="inlineStr">
        <is>
          <t>Naqsh-e Rustam royal inscriptions</t>
        </is>
      </c>
      <c r="I93" s="2" t="inlineStr">
        <is>
          <t>Inscription corpus</t>
        </is>
      </c>
      <c r="J93" s="2" t="inlineStr">
        <is>
          <t>Rock reliefs and texts</t>
        </is>
      </c>
      <c r="K93" s="2" t="inlineStr">
        <is>
          <t>Kingship</t>
        </is>
      </c>
      <c r="L93" s="2" t="inlineStr">
        <is>
          <t>Funerary ideology</t>
        </is>
      </c>
      <c r="M93" s="2" t="inlineStr">
        <is>
          <t>Iran</t>
        </is>
      </c>
      <c r="N93" s="2" t="inlineStr">
        <is>
          <t>Fars</t>
        </is>
      </c>
      <c r="O93" s="2" t="inlineStr">
        <is>
          <t>Achaemenid and later royal tomb and inscription complex.</t>
        </is>
      </c>
      <c r="P93" s="2" t="inlineStr">
        <is>
          <t>Good visual-textual source for imperial kingship imagery.</t>
        </is>
      </c>
      <c r="Q93" s="2" t="inlineStr">
        <is>
          <t>Low</t>
        </is>
      </c>
      <c r="R93" s="2" t="inlineStr">
        <is>
          <t>High</t>
        </is>
      </c>
      <c r="S93" s="2" t="inlineStr">
        <is>
          <t>High</t>
        </is>
      </c>
      <c r="T93" s="2" t="inlineStr">
        <is>
          <t>British Museum Collection</t>
        </is>
      </c>
      <c r="U93" s="8" t="inlineStr">
        <is>
          <t>https://www.britishmuseum.org/collection</t>
        </is>
      </c>
      <c r="V93" s="2" t="inlineStr">
        <is>
          <t>British Museum Collection</t>
        </is>
      </c>
      <c r="W93" s="8" t="inlineStr">
        <is>
          <t>https://www.britishmuseum.org/collection</t>
        </is>
      </c>
      <c r="X93" s="2" t="inlineStr">
        <is>
          <t>British Museum Collection</t>
        </is>
      </c>
      <c r="Y93" s="8" t="inlineStr">
        <is>
          <t>https://www.britishmuseum.org/collection</t>
        </is>
      </c>
      <c r="Z93" s="2" t="inlineStr">
        <is>
          <t>UNESCO</t>
        </is>
      </c>
      <c r="AA93" s="8" t="inlineStr">
        <is>
          <t>https://whc.unesco.org/</t>
        </is>
      </c>
      <c r="AB93" s="2" t="inlineStr">
        <is>
          <t>UNESCO</t>
        </is>
      </c>
      <c r="AC93" s="8" t="inlineStr">
        <is>
          <t>https://whc.unesco.org/</t>
        </is>
      </c>
      <c r="AD93" s="2" t="inlineStr">
        <is>
          <t>Naqsh-e Rustam</t>
        </is>
      </c>
      <c r="AE93" s="2" t="inlineStr">
        <is>
          <t>Some features extend later than BCE.</t>
        </is>
      </c>
      <c r="AF93" s="2" t="inlineStr">
        <is>
          <t>Royal tombs; divine sanction</t>
        </is>
      </c>
      <c r="AG93" s="2" t="inlineStr">
        <is>
          <t>Medium</t>
        </is>
      </c>
      <c r="AH93" s="2" t="inlineStr">
        <is>
          <t>Medium</t>
        </is>
      </c>
      <c r="AI93" s="2" t="inlineStr"/>
      <c r="AJ93" t="inlineStr">
        <is>
          <t>https://www.britishmuseum.org/collection/search?keyword=Naqsh-e+Rustam</t>
        </is>
      </c>
      <c r="AK93" t="inlineStr">
        <is>
          <t>https://www.britishmuseum.org/collection/search?keyword=Naqsh-e+Rustam</t>
        </is>
      </c>
      <c r="AL93" t="inlineStr">
        <is>
          <t>https://www.britishmuseum.org/collection/search?keyword=Naqsh-e+Rustam</t>
        </is>
      </c>
      <c r="AM93" t="inlineStr">
        <is>
          <t>https://whc.unesco.org/en/search/?searchterm=Naqsh-e+Rustam</t>
        </is>
      </c>
      <c r="AN93" t="inlineStr">
        <is>
          <t>https://whc.unesco.org/en/search/?searchterm=Naqsh-e+Rustam</t>
        </is>
      </c>
      <c r="AO93" t="inlineStr">
        <is>
          <t>1) Fact base: British Museum Collection. 2) Translation/text: British Museum Collection. 3) Images/objects: British Museum Collection. 4) Context/explanation: UNESCO. 5) Geography/maps: UNESCO. Use Suggested_Search_Term inside each portal.</t>
        </is>
      </c>
      <c r="AP93" t="inlineStr">
        <is>
          <t>Mixed: direct portal homepages plus search-result URLs where the portal exposes a public search endpoint.</t>
        </is>
      </c>
    </row>
    <row r="94">
      <c r="A94" s="2" t="n">
        <v>93</v>
      </c>
      <c r="B94" s="7" t="inlineStr">
        <is>
          <t>BCE_to_1AD</t>
        </is>
      </c>
      <c r="C94" s="2" t="inlineStr">
        <is>
          <t>Iran / Central Asia</t>
        </is>
      </c>
      <c r="D94" s="2" t="inlineStr">
        <is>
          <t>Iranian and Central Asian traditions</t>
        </is>
      </c>
      <c r="E94" s="2" t="n">
        <v>-2300</v>
      </c>
      <c r="F94" s="2" t="n">
        <v>-500</v>
      </c>
      <c r="G94" s="2" t="inlineStr">
        <is>
          <t>c. 2300 BCE to 500 BCE</t>
        </is>
      </c>
      <c r="H94" s="2" t="inlineStr">
        <is>
          <t>Susa / Elamite inscriptions</t>
        </is>
      </c>
      <c r="I94" s="2" t="inlineStr">
        <is>
          <t>Inscription corpus</t>
        </is>
      </c>
      <c r="J94" s="2" t="inlineStr">
        <is>
          <t>Stone/clay inscriptions</t>
        </is>
      </c>
      <c r="K94" s="2" t="inlineStr">
        <is>
          <t>Kingship</t>
        </is>
      </c>
      <c r="L94" s="2" t="inlineStr">
        <is>
          <t>Temple culture</t>
        </is>
      </c>
      <c r="M94" s="2" t="inlineStr">
        <is>
          <t>Iran</t>
        </is>
      </c>
      <c r="N94" s="2" t="inlineStr">
        <is>
          <t>Elam</t>
        </is>
      </c>
      <c r="O94" s="2" t="inlineStr">
        <is>
          <t>Long-lived inscription tradition from Elam and later empires.</t>
        </is>
      </c>
      <c r="P94" s="2" t="inlineStr">
        <is>
          <t>Important for eastern Near East beyond Mesopotamia proper.</t>
        </is>
      </c>
      <c r="Q94" s="2" t="inlineStr">
        <is>
          <t>Medium</t>
        </is>
      </c>
      <c r="R94" s="2" t="inlineStr">
        <is>
          <t>Partial</t>
        </is>
      </c>
      <c r="S94" s="2" t="inlineStr">
        <is>
          <t>Medium</t>
        </is>
      </c>
      <c r="T94" s="2" t="inlineStr">
        <is>
          <t>British Museum Collection</t>
        </is>
      </c>
      <c r="U94" s="8" t="inlineStr">
        <is>
          <t>https://www.britishmuseum.org/collection</t>
        </is>
      </c>
      <c r="V94" s="2" t="inlineStr">
        <is>
          <t>British Museum Collection</t>
        </is>
      </c>
      <c r="W94" s="8" t="inlineStr">
        <is>
          <t>https://www.britishmuseum.org/collection</t>
        </is>
      </c>
      <c r="X94" s="2" t="inlineStr">
        <is>
          <t>British Museum Collection</t>
        </is>
      </c>
      <c r="Y94" s="8" t="inlineStr">
        <is>
          <t>https://www.britishmuseum.org/collection</t>
        </is>
      </c>
      <c r="Z94" s="2" t="inlineStr">
        <is>
          <t>UNESCO</t>
        </is>
      </c>
      <c r="AA94" s="8" t="inlineStr">
        <is>
          <t>https://whc.unesco.org/</t>
        </is>
      </c>
      <c r="AB94" s="2" t="inlineStr">
        <is>
          <t>UNESCO</t>
        </is>
      </c>
      <c r="AC94" s="8" t="inlineStr">
        <is>
          <t>https://whc.unesco.org/</t>
        </is>
      </c>
      <c r="AD94" s="2" t="inlineStr">
        <is>
          <t>Susa Elamite inscriptions</t>
        </is>
      </c>
      <c r="AE94" s="2" t="inlineStr">
        <is>
          <t>Translation access varies.</t>
        </is>
      </c>
      <c r="AF94" s="2" t="inlineStr">
        <is>
          <t>Kingship; temple states</t>
        </is>
      </c>
      <c r="AG94" s="2" t="inlineStr">
        <is>
          <t>Medium</t>
        </is>
      </c>
      <c r="AH94" s="2" t="inlineStr">
        <is>
          <t>Medium</t>
        </is>
      </c>
      <c r="AI94" s="2" t="inlineStr"/>
      <c r="AJ94" t="inlineStr">
        <is>
          <t>https://www.britishmuseum.org/collection/search?keyword=Susa+Elamite+inscriptions</t>
        </is>
      </c>
      <c r="AK94" t="inlineStr">
        <is>
          <t>https://www.britishmuseum.org/collection/search?keyword=Susa+Elamite+inscriptions</t>
        </is>
      </c>
      <c r="AL94" t="inlineStr">
        <is>
          <t>https://www.britishmuseum.org/collection/search?keyword=Susa+Elamite+inscriptions</t>
        </is>
      </c>
      <c r="AM94" t="inlineStr">
        <is>
          <t>https://whc.unesco.org/en/search/?searchterm=Susa+Elamite+inscriptions</t>
        </is>
      </c>
      <c r="AN94" t="inlineStr">
        <is>
          <t>https://whc.unesco.org/en/search/?searchterm=Susa+Elamite+inscriptions</t>
        </is>
      </c>
      <c r="AO94" t="inlineStr">
        <is>
          <t>1) Fact base: British Museum Collection. 2) Translation/text: British Museum Collection. 3) Images/objects: British Museum Collection. 4) Context/explanation: UNESCO. 5) Geography/maps: UNESCO. Use Suggested_Search_Term inside each portal.</t>
        </is>
      </c>
      <c r="AP94" t="inlineStr">
        <is>
          <t>Mixed: direct portal homepages plus search-result URLs where the portal exposes a public search endpoint.</t>
        </is>
      </c>
    </row>
    <row r="95">
      <c r="A95" s="2" t="n">
        <v>94</v>
      </c>
      <c r="B95" s="7" t="inlineStr">
        <is>
          <t>BCE_to_1AD</t>
        </is>
      </c>
      <c r="C95" s="2" t="inlineStr">
        <is>
          <t>Iran / Central Asia</t>
        </is>
      </c>
      <c r="D95" s="2" t="inlineStr">
        <is>
          <t>Iranian and Central Asian traditions</t>
        </is>
      </c>
      <c r="E95" s="2" t="n">
        <v>-2200</v>
      </c>
      <c r="F95" s="2" t="n">
        <v>-1700</v>
      </c>
      <c r="G95" s="2" t="inlineStr">
        <is>
          <t>c. 2200 BCE to 1700 BCE</t>
        </is>
      </c>
      <c r="H95" s="2" t="inlineStr">
        <is>
          <t>Gonur Depe / BMAC</t>
        </is>
      </c>
      <c r="I95" s="2" t="inlineStr">
        <is>
          <t>Site</t>
        </is>
      </c>
      <c r="J95" s="2" t="inlineStr">
        <is>
          <t>Archaeology</t>
        </is>
      </c>
      <c r="K95" s="2" t="inlineStr">
        <is>
          <t>Ritual</t>
        </is>
      </c>
      <c r="L95" s="2" t="inlineStr">
        <is>
          <t>Urbanism</t>
        </is>
      </c>
      <c r="M95" s="2" t="inlineStr">
        <is>
          <t>Turkmenistan</t>
        </is>
      </c>
      <c r="N95" s="2" t="inlineStr">
        <is>
          <t>Bactria-Margiana Archaeological Complex</t>
        </is>
      </c>
      <c r="O95" s="2" t="inlineStr">
        <is>
          <t>Bronze Age oasis urban and ritual center.</t>
        </is>
      </c>
      <c r="P95" s="2" t="inlineStr">
        <is>
          <t>Frequently pulled into diffusion theories connecting Iran, India, and the Near East.</t>
        </is>
      </c>
      <c r="Q95" s="2" t="inlineStr">
        <is>
          <t>High</t>
        </is>
      </c>
      <c r="R95" s="2" t="inlineStr">
        <is>
          <t>Not applicable</t>
        </is>
      </c>
      <c r="S95" s="2" t="inlineStr">
        <is>
          <t>Medium</t>
        </is>
      </c>
      <c r="T95" s="2" t="inlineStr">
        <is>
          <t>UNESCO</t>
        </is>
      </c>
      <c r="U95" s="8" t="inlineStr">
        <is>
          <t>https://whc.unesco.org/</t>
        </is>
      </c>
      <c r="V95" s="2" t="inlineStr">
        <is>
          <t>British Museum Collection</t>
        </is>
      </c>
      <c r="W95" s="8" t="inlineStr">
        <is>
          <t>https://www.britishmuseum.org/collection</t>
        </is>
      </c>
      <c r="X95" s="2" t="inlineStr">
        <is>
          <t>British Museum Collection</t>
        </is>
      </c>
      <c r="Y95" s="8" t="inlineStr">
        <is>
          <t>https://www.britishmuseum.org/collection</t>
        </is>
      </c>
      <c r="Z95" s="2" t="inlineStr">
        <is>
          <t>UNESCO</t>
        </is>
      </c>
      <c r="AA95" s="8" t="inlineStr">
        <is>
          <t>https://whc.unesco.org/</t>
        </is>
      </c>
      <c r="AB95" s="2" t="inlineStr">
        <is>
          <t>UNESCO</t>
        </is>
      </c>
      <c r="AC95" s="8" t="inlineStr">
        <is>
          <t>https://whc.unesco.org/</t>
        </is>
      </c>
      <c r="AD95" s="2" t="inlineStr">
        <is>
          <t>Gonur Depe BMAC</t>
        </is>
      </c>
      <c r="AE95" s="2" t="inlineStr">
        <is>
          <t>Ground claims in excavation data first.</t>
        </is>
      </c>
      <c r="AF95" s="2" t="inlineStr">
        <is>
          <t>Oasis ritual; exchange networks</t>
        </is>
      </c>
      <c r="AG95" s="2" t="inlineStr">
        <is>
          <t>High</t>
        </is>
      </c>
      <c r="AH95" s="2" t="inlineStr">
        <is>
          <t>High</t>
        </is>
      </c>
      <c r="AI95" s="2" t="inlineStr"/>
      <c r="AJ95" t="inlineStr">
        <is>
          <t>https://whc.unesco.org/en/search/?searchterm=Gonur+Depe+BMAC</t>
        </is>
      </c>
      <c r="AK95" t="inlineStr">
        <is>
          <t>https://www.britishmuseum.org/collection/search?keyword=Gonur+Depe+BMAC</t>
        </is>
      </c>
      <c r="AL95" t="inlineStr">
        <is>
          <t>https://www.britishmuseum.org/collection/search?keyword=Gonur+Depe+BMAC</t>
        </is>
      </c>
      <c r="AM95" t="inlineStr">
        <is>
          <t>https://whc.unesco.org/en/search/?searchterm=Gonur+Depe+BMAC</t>
        </is>
      </c>
      <c r="AN95" t="inlineStr">
        <is>
          <t>https://whc.unesco.org/en/search/?searchterm=Gonur+Depe+BMAC</t>
        </is>
      </c>
      <c r="AO95" t="inlineStr">
        <is>
          <t>1) Fact base: UNESCO. 2) Translation/text: British Museum Collection. 3) Images/objects: British Museum Collection. 4) Context/explanation: UNESCO. 5) Geography/maps: UNESCO. Use Suggested_Search_Term inside each portal.</t>
        </is>
      </c>
      <c r="AP95" t="inlineStr">
        <is>
          <t>Mixed: direct portal homepages plus search-result URLs where the portal exposes a public search endpoint.</t>
        </is>
      </c>
    </row>
    <row r="96">
      <c r="A96" s="2" t="n">
        <v>95</v>
      </c>
      <c r="B96" s="7" t="inlineStr">
        <is>
          <t>BCE_to_1AD</t>
        </is>
      </c>
      <c r="C96" s="2" t="inlineStr">
        <is>
          <t>Iran / Central Asia</t>
        </is>
      </c>
      <c r="D96" s="2" t="inlineStr">
        <is>
          <t>Iranian and Central Asian traditions</t>
        </is>
      </c>
      <c r="E96" s="2" t="n">
        <v>-500</v>
      </c>
      <c r="F96" s="2" t="n">
        <v>-300</v>
      </c>
      <c r="G96" s="2" t="inlineStr">
        <is>
          <t>c. 500 BCE to 300 BCE</t>
        </is>
      </c>
      <c r="H96" s="2" t="inlineStr">
        <is>
          <t>Oxus Treasure</t>
        </is>
      </c>
      <c r="I96" s="2" t="inlineStr">
        <is>
          <t>Artifact corpus</t>
        </is>
      </c>
      <c r="J96" s="2" t="inlineStr">
        <is>
          <t>Metal objects</t>
        </is>
      </c>
      <c r="K96" s="2" t="inlineStr">
        <is>
          <t>Imperial art</t>
        </is>
      </c>
      <c r="L96" s="2" t="inlineStr">
        <is>
          <t>Ritual objects</t>
        </is>
      </c>
      <c r="M96" s="2" t="inlineStr">
        <is>
          <t>Central Asia / British holdings</t>
        </is>
      </c>
      <c r="N96" s="2" t="inlineStr">
        <is>
          <t>Achaemenid sphere</t>
        </is>
      </c>
      <c r="O96" s="2" t="inlineStr">
        <is>
          <t>Group of luxury objects associated with the Oxus region.</t>
        </is>
      </c>
      <c r="P96" s="2" t="inlineStr">
        <is>
          <t>Useful for visualizing imperial art and object circulation.</t>
        </is>
      </c>
      <c r="Q96" s="2" t="inlineStr">
        <is>
          <t>Low</t>
        </is>
      </c>
      <c r="R96" s="2" t="inlineStr">
        <is>
          <t>Not applicable</t>
        </is>
      </c>
      <c r="S96" s="2" t="inlineStr">
        <is>
          <t>High</t>
        </is>
      </c>
      <c r="T96" s="2" t="inlineStr">
        <is>
          <t>British Museum Collection</t>
        </is>
      </c>
      <c r="U96" s="8" t="inlineStr">
        <is>
          <t>https://www.britishmuseum.org/collection</t>
        </is>
      </c>
      <c r="V96" s="2" t="inlineStr">
        <is>
          <t>British Museum Collection</t>
        </is>
      </c>
      <c r="W96" s="8" t="inlineStr">
        <is>
          <t>https://www.britishmuseum.org/collection</t>
        </is>
      </c>
      <c r="X96" s="2" t="inlineStr">
        <is>
          <t>British Museum Collection</t>
        </is>
      </c>
      <c r="Y96" s="8" t="inlineStr">
        <is>
          <t>https://www.britishmuseum.org/collection</t>
        </is>
      </c>
      <c r="Z96" s="2" t="inlineStr">
        <is>
          <t>UNESCO</t>
        </is>
      </c>
      <c r="AA96" s="8" t="inlineStr">
        <is>
          <t>https://whc.unesco.org/</t>
        </is>
      </c>
      <c r="AB96" s="2" t="inlineStr">
        <is>
          <t>UNESCO</t>
        </is>
      </c>
      <c r="AC96" s="8" t="inlineStr">
        <is>
          <t>https://whc.unesco.org/</t>
        </is>
      </c>
      <c r="AD96" s="2" t="inlineStr">
        <is>
          <t>Oxus Treasure</t>
        </is>
      </c>
      <c r="AE96" s="2" t="inlineStr">
        <is>
          <t>Provenance history is complex.</t>
        </is>
      </c>
      <c r="AF96" s="2" t="inlineStr">
        <is>
          <t>Imperial iconography; exchange</t>
        </is>
      </c>
      <c r="AG96" s="2" t="inlineStr">
        <is>
          <t>Medium</t>
        </is>
      </c>
      <c r="AH96" s="2" t="inlineStr">
        <is>
          <t>Medium</t>
        </is>
      </c>
      <c r="AI96" s="2" t="inlineStr"/>
      <c r="AJ96" t="inlineStr">
        <is>
          <t>https://www.britishmuseum.org/collection/search?keyword=Oxus+Treasure</t>
        </is>
      </c>
      <c r="AK96" t="inlineStr">
        <is>
          <t>https://www.britishmuseum.org/collection/search?keyword=Oxus+Treasure</t>
        </is>
      </c>
      <c r="AL96" t="inlineStr">
        <is>
          <t>https://www.britishmuseum.org/collection/search?keyword=Oxus+Treasure</t>
        </is>
      </c>
      <c r="AM96" t="inlineStr">
        <is>
          <t>https://whc.unesco.org/en/search/?searchterm=Oxus+Treasure</t>
        </is>
      </c>
      <c r="AN96" t="inlineStr">
        <is>
          <t>https://whc.unesco.org/en/search/?searchterm=Oxus+Treasure</t>
        </is>
      </c>
      <c r="AO96" t="inlineStr">
        <is>
          <t>1) Fact base: British Museum Collection. 2) Translation/text: British Museum Collection. 3) Images/objects: British Museum Collection. 4) Context/explanation: UNESCO. 5) Geography/maps: UNESCO. Use Suggested_Search_Term inside each portal.</t>
        </is>
      </c>
      <c r="AP96" t="inlineStr">
        <is>
          <t>Mixed: direct portal homepages plus search-result URLs where the portal exposes a public search endpoint.</t>
        </is>
      </c>
    </row>
    <row r="97">
      <c r="A97" s="2" t="n">
        <v>96</v>
      </c>
      <c r="B97" s="7" t="inlineStr">
        <is>
          <t>BCE_to_1AD</t>
        </is>
      </c>
      <c r="C97" s="2" t="inlineStr">
        <is>
          <t>Iran / Central Asia</t>
        </is>
      </c>
      <c r="D97" s="2" t="inlineStr">
        <is>
          <t>Iranian and Central Asian traditions</t>
        </is>
      </c>
      <c r="E97" s="2" t="n">
        <v>-500</v>
      </c>
      <c r="F97" s="2" t="n">
        <v>-300</v>
      </c>
      <c r="G97" s="2" t="inlineStr">
        <is>
          <t>c. 500 BCE to 300 BCE</t>
        </is>
      </c>
      <c r="H97" s="2" t="inlineStr">
        <is>
          <t>Pazyryk Kurgans</t>
        </is>
      </c>
      <c r="I97" s="2" t="inlineStr">
        <is>
          <t>Site</t>
        </is>
      </c>
      <c r="J97" s="2" t="inlineStr">
        <is>
          <t>Archaeology</t>
        </is>
      </c>
      <c r="K97" s="2" t="inlineStr">
        <is>
          <t>Burial</t>
        </is>
      </c>
      <c r="L97" s="2" t="inlineStr">
        <is>
          <t>Steppe elites</t>
        </is>
      </c>
      <c r="M97" s="2" t="inlineStr">
        <is>
          <t>Russia / Altai</t>
        </is>
      </c>
      <c r="N97" s="2" t="inlineStr">
        <is>
          <t>Scythian sphere</t>
        </is>
      </c>
      <c r="O97" s="2" t="inlineStr">
        <is>
          <t>Frozen kurgan burials preserving textiles, art, and sacrificed horses.</t>
        </is>
      </c>
      <c r="P97" s="2" t="inlineStr">
        <is>
          <t>Strong material window onto steppe elite ritual and mobility.</t>
        </is>
      </c>
      <c r="Q97" s="2" t="inlineStr">
        <is>
          <t>Medium</t>
        </is>
      </c>
      <c r="R97" s="2" t="inlineStr">
        <is>
          <t>Not applicable</t>
        </is>
      </c>
      <c r="S97" s="2" t="inlineStr">
        <is>
          <t>High</t>
        </is>
      </c>
      <c r="T97" s="2" t="inlineStr">
        <is>
          <t>UNESCO</t>
        </is>
      </c>
      <c r="U97" s="8" t="inlineStr">
        <is>
          <t>https://whc.unesco.org/</t>
        </is>
      </c>
      <c r="V97" s="2" t="inlineStr">
        <is>
          <t>British Museum Collection</t>
        </is>
      </c>
      <c r="W97" s="8" t="inlineStr">
        <is>
          <t>https://www.britishmuseum.org/collection</t>
        </is>
      </c>
      <c r="X97" s="2" t="inlineStr">
        <is>
          <t>British Museum Collection</t>
        </is>
      </c>
      <c r="Y97" s="8" t="inlineStr">
        <is>
          <t>https://www.britishmuseum.org/collection</t>
        </is>
      </c>
      <c r="Z97" s="2" t="inlineStr">
        <is>
          <t>UNESCO</t>
        </is>
      </c>
      <c r="AA97" s="8" t="inlineStr">
        <is>
          <t>https://whc.unesco.org/</t>
        </is>
      </c>
      <c r="AB97" s="2" t="inlineStr">
        <is>
          <t>UNESCO</t>
        </is>
      </c>
      <c r="AC97" s="8" t="inlineStr">
        <is>
          <t>https://whc.unesco.org/</t>
        </is>
      </c>
      <c r="AD97" s="2" t="inlineStr">
        <is>
          <t>Pazyryk burials</t>
        </is>
      </c>
      <c r="AE97" s="2" t="inlineStr">
        <is>
          <t>Often better through museum collections than site pages.</t>
        </is>
      </c>
      <c r="AF97" s="2" t="inlineStr">
        <is>
          <t>Horse cultures; sky/animal art</t>
        </is>
      </c>
      <c r="AG97" s="2" t="inlineStr">
        <is>
          <t>Medium</t>
        </is>
      </c>
      <c r="AH97" s="2" t="inlineStr">
        <is>
          <t>Medium</t>
        </is>
      </c>
      <c r="AI97" s="2" t="inlineStr"/>
      <c r="AJ97" t="inlineStr">
        <is>
          <t>https://whc.unesco.org/en/search/?searchterm=Pazyryk+burials</t>
        </is>
      </c>
      <c r="AK97" t="inlineStr">
        <is>
          <t>https://www.britishmuseum.org/collection/search?keyword=Pazyryk+burials</t>
        </is>
      </c>
      <c r="AL97" t="inlineStr">
        <is>
          <t>https://www.britishmuseum.org/collection/search?keyword=Pazyryk+burials</t>
        </is>
      </c>
      <c r="AM97" t="inlineStr">
        <is>
          <t>https://whc.unesco.org/en/search/?searchterm=Pazyryk+burials</t>
        </is>
      </c>
      <c r="AN97" t="inlineStr">
        <is>
          <t>https://whc.unesco.org/en/search/?searchterm=Pazyryk+burials</t>
        </is>
      </c>
      <c r="AO97" t="inlineStr">
        <is>
          <t>1) Fact base: UNESCO. 2) Translation/text: British Museum Collection. 3) Images/objects: British Museum Collection. 4) Context/explanation: UNESCO. 5) Geography/maps: UNESCO. Use Suggested_Search_Term inside each portal.</t>
        </is>
      </c>
      <c r="AP97" t="inlineStr">
        <is>
          <t>Mixed: direct portal homepages plus search-result URLs where the portal exposes a public search endpoint.</t>
        </is>
      </c>
    </row>
    <row r="98">
      <c r="A98" s="2" t="n">
        <v>97</v>
      </c>
      <c r="B98" s="7" t="inlineStr">
        <is>
          <t>BCE_to_1AD</t>
        </is>
      </c>
      <c r="C98" s="2" t="inlineStr">
        <is>
          <t>Iran / Central Asia</t>
        </is>
      </c>
      <c r="D98" s="2" t="inlineStr">
        <is>
          <t>Iranian and Central Asian traditions</t>
        </is>
      </c>
      <c r="E98" s="2" t="n">
        <v>-800</v>
      </c>
      <c r="F98" s="2" t="n">
        <v>-600</v>
      </c>
      <c r="G98" s="2" t="inlineStr">
        <is>
          <t>c. 800 BCE to 600 BCE</t>
        </is>
      </c>
      <c r="H98" s="2" t="inlineStr">
        <is>
          <t>Arzhan Kurgans</t>
        </is>
      </c>
      <c r="I98" s="2" t="inlineStr">
        <is>
          <t>Site</t>
        </is>
      </c>
      <c r="J98" s="2" t="inlineStr">
        <is>
          <t>Archaeology</t>
        </is>
      </c>
      <c r="K98" s="2" t="inlineStr">
        <is>
          <t>Burial</t>
        </is>
      </c>
      <c r="L98" s="2" t="inlineStr">
        <is>
          <t>Steppe elites</t>
        </is>
      </c>
      <c r="M98" s="2" t="inlineStr">
        <is>
          <t>Tuva</t>
        </is>
      </c>
      <c r="N98" s="2" t="inlineStr">
        <is>
          <t>Scythian sphere</t>
        </is>
      </c>
      <c r="O98" s="2" t="inlineStr">
        <is>
          <t>Early steppe elite burial complexes with rich grave goods.</t>
        </is>
      </c>
      <c r="P98" s="2" t="inlineStr">
        <is>
          <t>Useful for early Scythian chronology and ritual comparison.</t>
        </is>
      </c>
      <c r="Q98" s="2" t="inlineStr">
        <is>
          <t>Low</t>
        </is>
      </c>
      <c r="R98" s="2" t="inlineStr">
        <is>
          <t>Not applicable</t>
        </is>
      </c>
      <c r="S98" s="2" t="inlineStr">
        <is>
          <t>Medium</t>
        </is>
      </c>
      <c r="T98" s="2" t="inlineStr">
        <is>
          <t>UNESCO</t>
        </is>
      </c>
      <c r="U98" s="8" t="inlineStr">
        <is>
          <t>https://whc.unesco.org/</t>
        </is>
      </c>
      <c r="V98" s="2" t="inlineStr">
        <is>
          <t>British Museum Collection</t>
        </is>
      </c>
      <c r="W98" s="8" t="inlineStr">
        <is>
          <t>https://www.britishmuseum.org/collection</t>
        </is>
      </c>
      <c r="X98" s="2" t="inlineStr">
        <is>
          <t>British Museum Collection</t>
        </is>
      </c>
      <c r="Y98" s="8" t="inlineStr">
        <is>
          <t>https://www.britishmuseum.org/collection</t>
        </is>
      </c>
      <c r="Z98" s="2" t="inlineStr">
        <is>
          <t>UNESCO</t>
        </is>
      </c>
      <c r="AA98" s="8" t="inlineStr">
        <is>
          <t>https://whc.unesco.org/</t>
        </is>
      </c>
      <c r="AB98" s="2" t="inlineStr">
        <is>
          <t>UNESCO</t>
        </is>
      </c>
      <c r="AC98" s="8" t="inlineStr">
        <is>
          <t>https://whc.unesco.org/</t>
        </is>
      </c>
      <c r="AD98" s="2" t="inlineStr">
        <is>
          <t>Arzhan kurgan</t>
        </is>
      </c>
      <c r="AE98" s="2" t="inlineStr">
        <is>
          <t>Good comparative case with Pazyryk.</t>
        </is>
      </c>
      <c r="AF98" s="2" t="inlineStr">
        <is>
          <t>Elite burial; animal style</t>
        </is>
      </c>
      <c r="AG98" s="2" t="inlineStr">
        <is>
          <t>Low</t>
        </is>
      </c>
      <c r="AH98" s="2" t="inlineStr">
        <is>
          <t>Low</t>
        </is>
      </c>
      <c r="AI98" s="2" t="inlineStr"/>
      <c r="AJ98" t="inlineStr">
        <is>
          <t>https://whc.unesco.org/en/search/?searchterm=Arzhan+kurgan</t>
        </is>
      </c>
      <c r="AK98" t="inlineStr">
        <is>
          <t>https://www.britishmuseum.org/collection/search?keyword=Arzhan+kurgan</t>
        </is>
      </c>
      <c r="AL98" t="inlineStr">
        <is>
          <t>https://www.britishmuseum.org/collection/search?keyword=Arzhan+kurgan</t>
        </is>
      </c>
      <c r="AM98" t="inlineStr">
        <is>
          <t>https://whc.unesco.org/en/search/?searchterm=Arzhan+kurgan</t>
        </is>
      </c>
      <c r="AN98" t="inlineStr">
        <is>
          <t>https://whc.unesco.org/en/search/?searchterm=Arzhan+kurgan</t>
        </is>
      </c>
      <c r="AO98" t="inlineStr">
        <is>
          <t>1) Fact base: UNESCO. 2) Translation/text: British Museum Collection. 3) Images/objects: British Museum Collection. 4) Context/explanation: UNESCO. 5) Geography/maps: UNESCO. Use Suggested_Search_Term inside each portal.</t>
        </is>
      </c>
      <c r="AP98" t="inlineStr">
        <is>
          <t>Mixed: direct portal homepages plus search-result URLs where the portal exposes a public search endpoint.</t>
        </is>
      </c>
    </row>
    <row r="99">
      <c r="A99" s="2" t="n">
        <v>98</v>
      </c>
      <c r="B99" s="7" t="inlineStr">
        <is>
          <t>BCE_to_1AD</t>
        </is>
      </c>
      <c r="C99" s="2" t="inlineStr">
        <is>
          <t>South Asia</t>
        </is>
      </c>
      <c r="D99" s="2" t="inlineStr">
        <is>
          <t>South Asian traditions</t>
        </is>
      </c>
      <c r="E99" s="2" t="n">
        <v>-2600</v>
      </c>
      <c r="F99" s="2" t="n">
        <v>-1900</v>
      </c>
      <c r="G99" s="2" t="inlineStr">
        <is>
          <t>c. 2600 BCE to 1900 BCE</t>
        </is>
      </c>
      <c r="H99" s="2" t="inlineStr">
        <is>
          <t>Harappa</t>
        </is>
      </c>
      <c r="I99" s="2" t="inlineStr">
        <is>
          <t>Site</t>
        </is>
      </c>
      <c r="J99" s="2" t="inlineStr">
        <is>
          <t>Archaeology</t>
        </is>
      </c>
      <c r="K99" s="2" t="inlineStr">
        <is>
          <t>Urbanism</t>
        </is>
      </c>
      <c r="L99" s="2" t="inlineStr">
        <is>
          <t>Indus civilization</t>
        </is>
      </c>
      <c r="M99" s="2" t="inlineStr">
        <is>
          <t>Pakistan</t>
        </is>
      </c>
      <c r="N99" s="2" t="inlineStr">
        <is>
          <t>Indus Valley</t>
        </is>
      </c>
      <c r="O99" s="2" t="inlineStr">
        <is>
          <t>Major Indus urban center with standardized planning, craft production, and seal finds.</t>
        </is>
      </c>
      <c r="P99" s="2" t="inlineStr">
        <is>
          <t>Core anchor for any pre-Vedic South Asian reconstruction.</t>
        </is>
      </c>
      <c r="Q99" s="2" t="inlineStr">
        <is>
          <t>High</t>
        </is>
      </c>
      <c r="R99" s="2" t="inlineStr">
        <is>
          <t>Not applicable</t>
        </is>
      </c>
      <c r="S99" s="2" t="inlineStr">
        <is>
          <t>Medium</t>
        </is>
      </c>
      <c r="T99" s="2" t="inlineStr">
        <is>
          <t>ASI</t>
        </is>
      </c>
      <c r="U99" s="8" t="inlineStr">
        <is>
          <t>https://asi.nic.in/</t>
        </is>
      </c>
      <c r="V99" s="2" t="inlineStr">
        <is>
          <t>ASI</t>
        </is>
      </c>
      <c r="W99" s="8" t="inlineStr">
        <is>
          <t>https://asi.nic.in/</t>
        </is>
      </c>
      <c r="X99" s="2" t="inlineStr">
        <is>
          <t>British Museum Collection</t>
        </is>
      </c>
      <c r="Y99" s="8" t="inlineStr">
        <is>
          <t>https://www.britishmuseum.org/collection</t>
        </is>
      </c>
      <c r="Z99" s="2" t="inlineStr">
        <is>
          <t>UNESCO</t>
        </is>
      </c>
      <c r="AA99" s="8" t="inlineStr">
        <is>
          <t>https://whc.unesco.org/</t>
        </is>
      </c>
      <c r="AB99" s="2" t="inlineStr">
        <is>
          <t>UNESCO</t>
        </is>
      </c>
      <c r="AC99" s="8" t="inlineStr">
        <is>
          <t>https://whc.unesco.org/</t>
        </is>
      </c>
      <c r="AD99" s="2" t="inlineStr">
        <is>
          <t>Harappa excavation</t>
        </is>
      </c>
      <c r="AE99" s="2" t="inlineStr">
        <is>
          <t>Use mature Harappan phases and material categories explicitly.</t>
        </is>
      </c>
      <c r="AF99" s="2" t="inlineStr">
        <is>
          <t>Urbanism; seals; water management</t>
        </is>
      </c>
      <c r="AG99" s="2" t="inlineStr">
        <is>
          <t>Critical</t>
        </is>
      </c>
      <c r="AH99" s="2" t="inlineStr">
        <is>
          <t>High</t>
        </is>
      </c>
      <c r="AI99" s="2" t="inlineStr"/>
      <c r="AJ99" t="inlineStr">
        <is>
          <t>https://asi.nic.in/</t>
        </is>
      </c>
      <c r="AK99" t="inlineStr">
        <is>
          <t>https://asi.nic.in/</t>
        </is>
      </c>
      <c r="AL99" t="inlineStr">
        <is>
          <t>https://www.britishmuseum.org/collection/search?keyword=Harappa+excavation</t>
        </is>
      </c>
      <c r="AM99" t="inlineStr">
        <is>
          <t>https://whc.unesco.org/en/search/?searchterm=Harappa+excavation</t>
        </is>
      </c>
      <c r="AN99" t="inlineStr">
        <is>
          <t>https://whc.unesco.org/en/search/?searchterm=Harappa+excavation</t>
        </is>
      </c>
      <c r="AO99" t="inlineStr">
        <is>
          <t>1) Fact base: ASI. 2) Translation/text: ASI. 3) Images/objects: British Museum Collection. 4) Context/explanation: UNESCO. 5) Geography/maps: UNESCO. Use Suggested_Search_Term inside each portal.</t>
        </is>
      </c>
      <c r="AP99" t="inlineStr">
        <is>
          <t>Mixed: direct portal homepages plus search-result URLs where the portal exposes a public search endpoint.</t>
        </is>
      </c>
    </row>
    <row r="100">
      <c r="A100" s="2" t="n">
        <v>99</v>
      </c>
      <c r="B100" s="7" t="inlineStr">
        <is>
          <t>BCE_to_1AD</t>
        </is>
      </c>
      <c r="C100" s="2" t="inlineStr">
        <is>
          <t>South Asia</t>
        </is>
      </c>
      <c r="D100" s="2" t="inlineStr">
        <is>
          <t>South Asian traditions</t>
        </is>
      </c>
      <c r="E100" s="2" t="n">
        <v>-2600</v>
      </c>
      <c r="F100" s="2" t="n">
        <v>-1900</v>
      </c>
      <c r="G100" s="2" t="inlineStr">
        <is>
          <t>c. 2600 BCE to 1900 BCE</t>
        </is>
      </c>
      <c r="H100" s="2" t="inlineStr">
        <is>
          <t>Mohenjo-daro</t>
        </is>
      </c>
      <c r="I100" s="2" t="inlineStr">
        <is>
          <t>Site</t>
        </is>
      </c>
      <c r="J100" s="2" t="inlineStr">
        <is>
          <t>Archaeology</t>
        </is>
      </c>
      <c r="K100" s="2" t="inlineStr">
        <is>
          <t>Urbanism</t>
        </is>
      </c>
      <c r="L100" s="2" t="inlineStr">
        <is>
          <t>Water systems</t>
        </is>
      </c>
      <c r="M100" s="2" t="inlineStr">
        <is>
          <t>Pakistan</t>
        </is>
      </c>
      <c r="N100" s="2" t="inlineStr">
        <is>
          <t>Lower Indus</t>
        </is>
      </c>
      <c r="O100" s="2" t="inlineStr">
        <is>
          <t>Large Indus city famous for planned streets, drainage, and monumental bath.</t>
        </is>
      </c>
      <c r="P100" s="2" t="inlineStr">
        <is>
          <t>A centerpiece of advanced-ancient-civilization discussions.</t>
        </is>
      </c>
      <c r="Q100" s="2" t="inlineStr">
        <is>
          <t>High</t>
        </is>
      </c>
      <c r="R100" s="2" t="inlineStr">
        <is>
          <t>Not applicable</t>
        </is>
      </c>
      <c r="S100" s="2" t="inlineStr">
        <is>
          <t>High</t>
        </is>
      </c>
      <c r="T100" s="2" t="inlineStr">
        <is>
          <t>ASI</t>
        </is>
      </c>
      <c r="U100" s="8" t="inlineStr">
        <is>
          <t>https://asi.nic.in/</t>
        </is>
      </c>
      <c r="V100" s="2" t="inlineStr">
        <is>
          <t>ASI</t>
        </is>
      </c>
      <c r="W100" s="8" t="inlineStr">
        <is>
          <t>https://asi.nic.in/</t>
        </is>
      </c>
      <c r="X100" s="2" t="inlineStr">
        <is>
          <t>British Museum Collection</t>
        </is>
      </c>
      <c r="Y100" s="8" t="inlineStr">
        <is>
          <t>https://www.britishmuseum.org/collection</t>
        </is>
      </c>
      <c r="Z100" s="2" t="inlineStr">
        <is>
          <t>UNESCO</t>
        </is>
      </c>
      <c r="AA100" s="8" t="inlineStr">
        <is>
          <t>https://whc.unesco.org/</t>
        </is>
      </c>
      <c r="AB100" s="2" t="inlineStr">
        <is>
          <t>UNESCO</t>
        </is>
      </c>
      <c r="AC100" s="8" t="inlineStr">
        <is>
          <t>https://whc.unesco.org/</t>
        </is>
      </c>
      <c r="AD100" s="2" t="inlineStr">
        <is>
          <t>Mohenjo-daro UNESCO</t>
        </is>
      </c>
      <c r="AE100" s="2" t="inlineStr">
        <is>
          <t>Avoid outdated invasion-collapse simplifications.</t>
        </is>
      </c>
      <c r="AF100" s="2" t="inlineStr">
        <is>
          <t>Urban planning; hydraulic design</t>
        </is>
      </c>
      <c r="AG100" s="2" t="inlineStr">
        <is>
          <t>Critical</t>
        </is>
      </c>
      <c r="AH100" s="2" t="inlineStr">
        <is>
          <t>High</t>
        </is>
      </c>
      <c r="AI100" s="2" t="inlineStr"/>
      <c r="AJ100" t="inlineStr">
        <is>
          <t>https://asi.nic.in/</t>
        </is>
      </c>
      <c r="AK100" t="inlineStr">
        <is>
          <t>https://asi.nic.in/</t>
        </is>
      </c>
      <c r="AL100" t="inlineStr">
        <is>
          <t>https://www.britishmuseum.org/collection/search?keyword=Mohenjo-daro+UNESCO</t>
        </is>
      </c>
      <c r="AM100" t="inlineStr">
        <is>
          <t>https://whc.unesco.org/en/search/?searchterm=Mohenjo-daro+UNESCO</t>
        </is>
      </c>
      <c r="AN100" t="inlineStr">
        <is>
          <t>https://whc.unesco.org/en/search/?searchterm=Mohenjo-daro+UNESCO</t>
        </is>
      </c>
      <c r="AO100" t="inlineStr">
        <is>
          <t>1) Fact base: ASI. 2) Translation/text: ASI. 3) Images/objects: British Museum Collection. 4) Context/explanation: UNESCO. 5) Geography/maps: UNESCO. Use Suggested_Search_Term inside each portal.</t>
        </is>
      </c>
      <c r="AP100" t="inlineStr">
        <is>
          <t>Mixed: direct portal homepages plus search-result URLs where the portal exposes a public search endpoint.</t>
        </is>
      </c>
    </row>
    <row r="101">
      <c r="A101" s="2" t="n">
        <v>100</v>
      </c>
      <c r="B101" s="7" t="inlineStr">
        <is>
          <t>BCE_to_1AD</t>
        </is>
      </c>
      <c r="C101" s="2" t="inlineStr">
        <is>
          <t>South Asia</t>
        </is>
      </c>
      <c r="D101" s="2" t="inlineStr">
        <is>
          <t>South Asian traditions</t>
        </is>
      </c>
      <c r="E101" s="2" t="n">
        <v>-2600</v>
      </c>
      <c r="F101" s="2" t="n">
        <v>-1900</v>
      </c>
      <c r="G101" s="2" t="inlineStr">
        <is>
          <t>c. 2600 BCE to 1900 BCE</t>
        </is>
      </c>
      <c r="H101" s="2" t="inlineStr">
        <is>
          <t>Dholavira</t>
        </is>
      </c>
      <c r="I101" s="2" t="inlineStr">
        <is>
          <t>Site</t>
        </is>
      </c>
      <c r="J101" s="2" t="inlineStr">
        <is>
          <t>Archaeology</t>
        </is>
      </c>
      <c r="K101" s="2" t="inlineStr">
        <is>
          <t>Urbanism</t>
        </is>
      </c>
      <c r="L101" s="2" t="inlineStr">
        <is>
          <t>Hydrology</t>
        </is>
      </c>
      <c r="M101" s="2" t="inlineStr">
        <is>
          <t>India</t>
        </is>
      </c>
      <c r="N101" s="2" t="inlineStr">
        <is>
          <t>Khadir island, Kutch</t>
        </is>
      </c>
      <c r="O101" s="2" t="inlineStr">
        <is>
          <t>Indus city with water reservoirs, signage, and planned divisions.</t>
        </is>
      </c>
      <c r="P101" s="2" t="inlineStr">
        <is>
          <t>Exceptionally useful for engineering and inscriptions debates.</t>
        </is>
      </c>
      <c r="Q101" s="2" t="inlineStr">
        <is>
          <t>High</t>
        </is>
      </c>
      <c r="R101" s="2" t="inlineStr">
        <is>
          <t>Not applicable</t>
        </is>
      </c>
      <c r="S101" s="2" t="inlineStr">
        <is>
          <t>High</t>
        </is>
      </c>
      <c r="T101" s="2" t="inlineStr">
        <is>
          <t>ASI</t>
        </is>
      </c>
      <c r="U101" s="8" t="inlineStr">
        <is>
          <t>https://asi.nic.in/</t>
        </is>
      </c>
      <c r="V101" s="2" t="inlineStr">
        <is>
          <t>ASI</t>
        </is>
      </c>
      <c r="W101" s="8" t="inlineStr">
        <is>
          <t>https://asi.nic.in/</t>
        </is>
      </c>
      <c r="X101" s="2" t="inlineStr">
        <is>
          <t>British Museum Collection</t>
        </is>
      </c>
      <c r="Y101" s="8" t="inlineStr">
        <is>
          <t>https://www.britishmuseum.org/collection</t>
        </is>
      </c>
      <c r="Z101" s="2" t="inlineStr">
        <is>
          <t>UNESCO</t>
        </is>
      </c>
      <c r="AA101" s="8" t="inlineStr">
        <is>
          <t>https://whc.unesco.org/</t>
        </is>
      </c>
      <c r="AB101" s="2" t="inlineStr">
        <is>
          <t>UNESCO</t>
        </is>
      </c>
      <c r="AC101" s="8" t="inlineStr">
        <is>
          <t>https://whc.unesco.org/</t>
        </is>
      </c>
      <c r="AD101" s="2" t="inlineStr">
        <is>
          <t>Dholavira UNESCO</t>
        </is>
      </c>
      <c r="AE101" s="2" t="inlineStr">
        <is>
          <t>Good image and plan availability.</t>
        </is>
      </c>
      <c r="AF101" s="2" t="inlineStr">
        <is>
          <t>Urban water systems; signage</t>
        </is>
      </c>
      <c r="AG101" s="2" t="inlineStr">
        <is>
          <t>Critical</t>
        </is>
      </c>
      <c r="AH101" s="2" t="inlineStr">
        <is>
          <t>High</t>
        </is>
      </c>
      <c r="AI101" s="2" t="inlineStr"/>
      <c r="AJ101" t="inlineStr">
        <is>
          <t>https://asi.nic.in/</t>
        </is>
      </c>
      <c r="AK101" t="inlineStr">
        <is>
          <t>https://asi.nic.in/</t>
        </is>
      </c>
      <c r="AL101" t="inlineStr">
        <is>
          <t>https://www.britishmuseum.org/collection/search?keyword=Dholavira+UNESCO</t>
        </is>
      </c>
      <c r="AM101" t="inlineStr">
        <is>
          <t>https://whc.unesco.org/en/search/?searchterm=Dholavira+UNESCO</t>
        </is>
      </c>
      <c r="AN101" t="inlineStr">
        <is>
          <t>https://whc.unesco.org/en/search/?searchterm=Dholavira+UNESCO</t>
        </is>
      </c>
      <c r="AO101" t="inlineStr">
        <is>
          <t>1) Fact base: ASI. 2) Translation/text: ASI. 3) Images/objects: British Museum Collection. 4) Context/explanation: UNESCO. 5) Geography/maps: UNESCO. Use Suggested_Search_Term inside each portal.</t>
        </is>
      </c>
      <c r="AP101" t="inlineStr">
        <is>
          <t>Mixed: direct portal homepages plus search-result URLs where the portal exposes a public search endpoint.</t>
        </is>
      </c>
    </row>
    <row r="102">
      <c r="A102" s="2" t="n">
        <v>101</v>
      </c>
      <c r="B102" s="7" t="inlineStr">
        <is>
          <t>BCE_to_1AD</t>
        </is>
      </c>
      <c r="C102" s="2" t="inlineStr">
        <is>
          <t>South Asia</t>
        </is>
      </c>
      <c r="D102" s="2" t="inlineStr">
        <is>
          <t>South Asian traditions</t>
        </is>
      </c>
      <c r="E102" s="2" t="n">
        <v>-2600</v>
      </c>
      <c r="F102" s="2" t="n">
        <v>-1900</v>
      </c>
      <c r="G102" s="2" t="inlineStr">
        <is>
          <t>c. 2600 BCE to 1900 BCE</t>
        </is>
      </c>
      <c r="H102" s="2" t="inlineStr">
        <is>
          <t>Rakhigarhi</t>
        </is>
      </c>
      <c r="I102" s="2" t="inlineStr">
        <is>
          <t>Site</t>
        </is>
      </c>
      <c r="J102" s="2" t="inlineStr">
        <is>
          <t>Archaeology</t>
        </is>
      </c>
      <c r="K102" s="2" t="inlineStr">
        <is>
          <t>Urbanism</t>
        </is>
      </c>
      <c r="L102" s="2" t="inlineStr">
        <is>
          <t>Population history</t>
        </is>
      </c>
      <c r="M102" s="2" t="inlineStr">
        <is>
          <t>India</t>
        </is>
      </c>
      <c r="N102" s="2" t="inlineStr">
        <is>
          <t>Haryana</t>
        </is>
      </c>
      <c r="O102" s="2" t="inlineStr">
        <is>
          <t>Large Harappan site central to ongoing archaeological and genetic work.</t>
        </is>
      </c>
      <c r="P102" s="2" t="inlineStr">
        <is>
          <t>Important for updating Indus settlement geography.</t>
        </is>
      </c>
      <c r="Q102" s="2" t="inlineStr">
        <is>
          <t>Medium</t>
        </is>
      </c>
      <c r="R102" s="2" t="inlineStr">
        <is>
          <t>Not applicable</t>
        </is>
      </c>
      <c r="S102" s="2" t="inlineStr">
        <is>
          <t>Medium</t>
        </is>
      </c>
      <c r="T102" s="2" t="inlineStr">
        <is>
          <t>ASI</t>
        </is>
      </c>
      <c r="U102" s="8" t="inlineStr">
        <is>
          <t>https://asi.nic.in/</t>
        </is>
      </c>
      <c r="V102" s="2" t="inlineStr">
        <is>
          <t>ASI</t>
        </is>
      </c>
      <c r="W102" s="8" t="inlineStr">
        <is>
          <t>https://asi.nic.in/</t>
        </is>
      </c>
      <c r="X102" s="2" t="inlineStr">
        <is>
          <t>British Museum Collection</t>
        </is>
      </c>
      <c r="Y102" s="8" t="inlineStr">
        <is>
          <t>https://www.britishmuseum.org/collection</t>
        </is>
      </c>
      <c r="Z102" s="2" t="inlineStr">
        <is>
          <t>UNESCO</t>
        </is>
      </c>
      <c r="AA102" s="8" t="inlineStr">
        <is>
          <t>https://whc.unesco.org/</t>
        </is>
      </c>
      <c r="AB102" s="2" t="inlineStr">
        <is>
          <t>UNESCO</t>
        </is>
      </c>
      <c r="AC102" s="8" t="inlineStr">
        <is>
          <t>https://whc.unesco.org/</t>
        </is>
      </c>
      <c r="AD102" s="2" t="inlineStr">
        <is>
          <t>Rakhigarhi archaeology</t>
        </is>
      </c>
      <c r="AE102" s="2" t="inlineStr">
        <is>
          <t>Excavation publications remain key.</t>
        </is>
      </c>
      <c r="AF102" s="2" t="inlineStr">
        <is>
          <t>Indus demography; regional spread</t>
        </is>
      </c>
      <c r="AG102" s="2" t="inlineStr">
        <is>
          <t>High</t>
        </is>
      </c>
      <c r="AH102" s="2" t="inlineStr">
        <is>
          <t>Medium</t>
        </is>
      </c>
      <c r="AI102" s="2" t="inlineStr"/>
      <c r="AJ102" t="inlineStr">
        <is>
          <t>https://asi.nic.in/</t>
        </is>
      </c>
      <c r="AK102" t="inlineStr">
        <is>
          <t>https://asi.nic.in/</t>
        </is>
      </c>
      <c r="AL102" t="inlineStr">
        <is>
          <t>https://www.britishmuseum.org/collection/search?keyword=Rakhigarhi+archaeology</t>
        </is>
      </c>
      <c r="AM102" t="inlineStr">
        <is>
          <t>https://whc.unesco.org/en/search/?searchterm=Rakhigarhi+archaeology</t>
        </is>
      </c>
      <c r="AN102" t="inlineStr">
        <is>
          <t>https://whc.unesco.org/en/search/?searchterm=Rakhigarhi+archaeology</t>
        </is>
      </c>
      <c r="AO102" t="inlineStr">
        <is>
          <t>1) Fact base: ASI. 2) Translation/text: ASI. 3) Images/objects: British Museum Collection. 4) Context/explanation: UNESCO. 5) Geography/maps: UNESCO. Use Suggested_Search_Term inside each portal.</t>
        </is>
      </c>
      <c r="AP102" t="inlineStr">
        <is>
          <t>Mixed: direct portal homepages plus search-result URLs where the portal exposes a public search endpoint.</t>
        </is>
      </c>
    </row>
    <row r="103">
      <c r="A103" s="2" t="n">
        <v>102</v>
      </c>
      <c r="B103" s="7" t="inlineStr">
        <is>
          <t>BCE_to_1AD</t>
        </is>
      </c>
      <c r="C103" s="2" t="inlineStr">
        <is>
          <t>South Asia</t>
        </is>
      </c>
      <c r="D103" s="2" t="inlineStr">
        <is>
          <t>South Asian traditions</t>
        </is>
      </c>
      <c r="E103" s="2" t="n">
        <v>-2400</v>
      </c>
      <c r="F103" s="2" t="n">
        <v>-1900</v>
      </c>
      <c r="G103" s="2" t="inlineStr">
        <is>
          <t>c. 2400 BCE to 1900 BCE</t>
        </is>
      </c>
      <c r="H103" s="2" t="inlineStr">
        <is>
          <t>Lothal</t>
        </is>
      </c>
      <c r="I103" s="2" t="inlineStr">
        <is>
          <t>Site</t>
        </is>
      </c>
      <c r="J103" s="2" t="inlineStr">
        <is>
          <t>Archaeology</t>
        </is>
      </c>
      <c r="K103" s="2" t="inlineStr">
        <is>
          <t>Trade</t>
        </is>
      </c>
      <c r="L103" s="2" t="inlineStr">
        <is>
          <t>Port claims</t>
        </is>
      </c>
      <c r="M103" s="2" t="inlineStr">
        <is>
          <t>India</t>
        </is>
      </c>
      <c r="N103" s="2" t="inlineStr">
        <is>
          <t>Gujarat</t>
        </is>
      </c>
      <c r="O103" s="2" t="inlineStr">
        <is>
          <t>Harappan site associated with beadmaking and debated dockyard interpretation.</t>
        </is>
      </c>
      <c r="P103" s="2" t="inlineStr">
        <is>
          <t>Frequently cited in ancient maritime-technology narratives.</t>
        </is>
      </c>
      <c r="Q103" s="2" t="inlineStr">
        <is>
          <t>Medium</t>
        </is>
      </c>
      <c r="R103" s="2" t="inlineStr">
        <is>
          <t>Not applicable</t>
        </is>
      </c>
      <c r="S103" s="2" t="inlineStr">
        <is>
          <t>Medium</t>
        </is>
      </c>
      <c r="T103" s="2" t="inlineStr">
        <is>
          <t>ASI</t>
        </is>
      </c>
      <c r="U103" s="8" t="inlineStr">
        <is>
          <t>https://asi.nic.in/</t>
        </is>
      </c>
      <c r="V103" s="2" t="inlineStr">
        <is>
          <t>ASI</t>
        </is>
      </c>
      <c r="W103" s="8" t="inlineStr">
        <is>
          <t>https://asi.nic.in/</t>
        </is>
      </c>
      <c r="X103" s="2" t="inlineStr">
        <is>
          <t>British Museum Collection</t>
        </is>
      </c>
      <c r="Y103" s="8" t="inlineStr">
        <is>
          <t>https://www.britishmuseum.org/collection</t>
        </is>
      </c>
      <c r="Z103" s="2" t="inlineStr">
        <is>
          <t>UNESCO</t>
        </is>
      </c>
      <c r="AA103" s="8" t="inlineStr">
        <is>
          <t>https://whc.unesco.org/</t>
        </is>
      </c>
      <c r="AB103" s="2" t="inlineStr">
        <is>
          <t>UNESCO</t>
        </is>
      </c>
      <c r="AC103" s="8" t="inlineStr">
        <is>
          <t>https://whc.unesco.org/</t>
        </is>
      </c>
      <c r="AD103" s="2" t="inlineStr">
        <is>
          <t>Lothal archaeology</t>
        </is>
      </c>
      <c r="AE103" s="2" t="inlineStr">
        <is>
          <t>Dockyard interpretation should be sourced carefully.</t>
        </is>
      </c>
      <c r="AF103" s="2" t="inlineStr">
        <is>
          <t>Trade; maritime links</t>
        </is>
      </c>
      <c r="AG103" s="2" t="inlineStr">
        <is>
          <t>Medium</t>
        </is>
      </c>
      <c r="AH103" s="2" t="inlineStr">
        <is>
          <t>Medium</t>
        </is>
      </c>
      <c r="AI103" s="2" t="inlineStr"/>
      <c r="AJ103" t="inlineStr">
        <is>
          <t>https://asi.nic.in/</t>
        </is>
      </c>
      <c r="AK103" t="inlineStr">
        <is>
          <t>https://asi.nic.in/</t>
        </is>
      </c>
      <c r="AL103" t="inlineStr">
        <is>
          <t>https://www.britishmuseum.org/collection/search?keyword=Lothal+archaeology</t>
        </is>
      </c>
      <c r="AM103" t="inlineStr">
        <is>
          <t>https://whc.unesco.org/en/search/?searchterm=Lothal+archaeology</t>
        </is>
      </c>
      <c r="AN103" t="inlineStr">
        <is>
          <t>https://whc.unesco.org/en/search/?searchterm=Lothal+archaeology</t>
        </is>
      </c>
      <c r="AO103" t="inlineStr">
        <is>
          <t>1) Fact base: ASI. 2) Translation/text: ASI. 3) Images/objects: British Museum Collection. 4) Context/explanation: UNESCO. 5) Geography/maps: UNESCO. Use Suggested_Search_Term inside each portal.</t>
        </is>
      </c>
      <c r="AP103" t="inlineStr">
        <is>
          <t>Mixed: direct portal homepages plus search-result URLs where the portal exposes a public search endpoint.</t>
        </is>
      </c>
    </row>
    <row r="104">
      <c r="A104" s="2" t="n">
        <v>103</v>
      </c>
      <c r="B104" s="7" t="inlineStr">
        <is>
          <t>BCE_to_1AD</t>
        </is>
      </c>
      <c r="C104" s="2" t="inlineStr">
        <is>
          <t>South Asia</t>
        </is>
      </c>
      <c r="D104" s="2" t="inlineStr">
        <is>
          <t>South Asian traditions</t>
        </is>
      </c>
      <c r="E104" s="2" t="n">
        <v>-2600</v>
      </c>
      <c r="F104" s="2" t="n">
        <v>-1900</v>
      </c>
      <c r="G104" s="2" t="inlineStr">
        <is>
          <t>c. 2600 BCE to 1900 BCE</t>
        </is>
      </c>
      <c r="H104" s="2" t="inlineStr">
        <is>
          <t>Kalibangan</t>
        </is>
      </c>
      <c r="I104" s="2" t="inlineStr">
        <is>
          <t>Site</t>
        </is>
      </c>
      <c r="J104" s="2" t="inlineStr">
        <is>
          <t>Archaeology</t>
        </is>
      </c>
      <c r="K104" s="2" t="inlineStr">
        <is>
          <t>Urbanism</t>
        </is>
      </c>
      <c r="L104" s="2" t="inlineStr">
        <is>
          <t>Ritual and agriculture</t>
        </is>
      </c>
      <c r="M104" s="2" t="inlineStr">
        <is>
          <t>India</t>
        </is>
      </c>
      <c r="N104" s="2" t="inlineStr">
        <is>
          <t>Rajasthan</t>
        </is>
      </c>
      <c r="O104" s="2" t="inlineStr">
        <is>
          <t>Indus site with fire-altars claims and ploughed-field evidence.</t>
        </is>
      </c>
      <c r="P104" s="2" t="inlineStr">
        <is>
          <t>Useful for settlement, agriculture, and ritual debates.</t>
        </is>
      </c>
      <c r="Q104" s="2" t="inlineStr">
        <is>
          <t>Medium</t>
        </is>
      </c>
      <c r="R104" s="2" t="inlineStr">
        <is>
          <t>Not applicable</t>
        </is>
      </c>
      <c r="S104" s="2" t="inlineStr">
        <is>
          <t>Medium</t>
        </is>
      </c>
      <c r="T104" s="2" t="inlineStr">
        <is>
          <t>ASI</t>
        </is>
      </c>
      <c r="U104" s="8" t="inlineStr">
        <is>
          <t>https://asi.nic.in/</t>
        </is>
      </c>
      <c r="V104" s="2" t="inlineStr">
        <is>
          <t>ASI</t>
        </is>
      </c>
      <c r="W104" s="8" t="inlineStr">
        <is>
          <t>https://asi.nic.in/</t>
        </is>
      </c>
      <c r="X104" s="2" t="inlineStr">
        <is>
          <t>British Museum Collection</t>
        </is>
      </c>
      <c r="Y104" s="8" t="inlineStr">
        <is>
          <t>https://www.britishmuseum.org/collection</t>
        </is>
      </c>
      <c r="Z104" s="2" t="inlineStr">
        <is>
          <t>UNESCO</t>
        </is>
      </c>
      <c r="AA104" s="8" t="inlineStr">
        <is>
          <t>https://whc.unesco.org/</t>
        </is>
      </c>
      <c r="AB104" s="2" t="inlineStr">
        <is>
          <t>UNESCO</t>
        </is>
      </c>
      <c r="AC104" s="8" t="inlineStr">
        <is>
          <t>https://whc.unesco.org/</t>
        </is>
      </c>
      <c r="AD104" s="2" t="inlineStr">
        <is>
          <t>Kalibangan archaeology</t>
        </is>
      </c>
      <c r="AE104" s="2" t="inlineStr">
        <is>
          <t>Fire altar interpretations should be anchored to excavation reports.</t>
        </is>
      </c>
      <c r="AF104" s="2" t="inlineStr">
        <is>
          <t>Ritual structures; agriculture</t>
        </is>
      </c>
      <c r="AG104" s="2" t="inlineStr">
        <is>
          <t>Medium</t>
        </is>
      </c>
      <c r="AH104" s="2" t="inlineStr">
        <is>
          <t>Medium</t>
        </is>
      </c>
      <c r="AI104" s="2" t="inlineStr"/>
      <c r="AJ104" t="inlineStr">
        <is>
          <t>https://asi.nic.in/</t>
        </is>
      </c>
      <c r="AK104" t="inlineStr">
        <is>
          <t>https://asi.nic.in/</t>
        </is>
      </c>
      <c r="AL104" t="inlineStr">
        <is>
          <t>https://www.britishmuseum.org/collection/search?keyword=Kalibangan+archaeology</t>
        </is>
      </c>
      <c r="AM104" t="inlineStr">
        <is>
          <t>https://whc.unesco.org/en/search/?searchterm=Kalibangan+archaeology</t>
        </is>
      </c>
      <c r="AN104" t="inlineStr">
        <is>
          <t>https://whc.unesco.org/en/search/?searchterm=Kalibangan+archaeology</t>
        </is>
      </c>
      <c r="AO104" t="inlineStr">
        <is>
          <t>1) Fact base: ASI. 2) Translation/text: ASI. 3) Images/objects: British Museum Collection. 4) Context/explanation: UNESCO. 5) Geography/maps: UNESCO. Use Suggested_Search_Term inside each portal.</t>
        </is>
      </c>
      <c r="AP104" t="inlineStr">
        <is>
          <t>Mixed: direct portal homepages plus search-result URLs where the portal exposes a public search endpoint.</t>
        </is>
      </c>
    </row>
    <row r="105">
      <c r="A105" s="2" t="n">
        <v>104</v>
      </c>
      <c r="B105" s="7" t="inlineStr">
        <is>
          <t>BCE_to_1AD</t>
        </is>
      </c>
      <c r="C105" s="2" t="inlineStr">
        <is>
          <t>South Asia</t>
        </is>
      </c>
      <c r="D105" s="2" t="inlineStr">
        <is>
          <t>South Asian traditions</t>
        </is>
      </c>
      <c r="E105" s="2" t="n">
        <v>-2600</v>
      </c>
      <c r="F105" s="2" t="n">
        <v>-1900</v>
      </c>
      <c r="G105" s="2" t="inlineStr">
        <is>
          <t>c. 2600 BCE to 1900 BCE</t>
        </is>
      </c>
      <c r="H105" s="2" t="inlineStr">
        <is>
          <t>Indus Seals Corpus</t>
        </is>
      </c>
      <c r="I105" s="2" t="inlineStr">
        <is>
          <t>Artifact corpus</t>
        </is>
      </c>
      <c r="J105" s="2" t="inlineStr">
        <is>
          <t>Seal images</t>
        </is>
      </c>
      <c r="K105" s="2" t="inlineStr">
        <is>
          <t>Script</t>
        </is>
      </c>
      <c r="L105" s="2" t="inlineStr">
        <is>
          <t>Iconography</t>
        </is>
      </c>
      <c r="M105" s="2" t="inlineStr">
        <is>
          <t>India/Pakistan</t>
        </is>
      </c>
      <c r="N105" s="2" t="inlineStr">
        <is>
          <t>Indus civilization</t>
        </is>
      </c>
      <c r="O105" s="2" t="inlineStr">
        <is>
          <t>Steatite seals bearing animal motifs and short undeciphered inscriptions.</t>
        </is>
      </c>
      <c r="P105" s="2" t="inlineStr">
        <is>
          <t>The single most cited visual corpus in Indus mystery narratives.</t>
        </is>
      </c>
      <c r="Q105" s="2" t="inlineStr">
        <is>
          <t>High</t>
        </is>
      </c>
      <c r="R105" s="2" t="inlineStr">
        <is>
          <t>No (script undeciphered)</t>
        </is>
      </c>
      <c r="S105" s="2" t="inlineStr">
        <is>
          <t>High</t>
        </is>
      </c>
      <c r="T105" s="2" t="inlineStr">
        <is>
          <t>GRETIL</t>
        </is>
      </c>
      <c r="U105" s="8" t="inlineStr">
        <is>
          <t>https://gretil.sub.uni-goettingen.de/gretil.html</t>
        </is>
      </c>
      <c r="V105" s="2" t="inlineStr">
        <is>
          <t>ASI</t>
        </is>
      </c>
      <c r="W105" s="8" t="inlineStr">
        <is>
          <t>https://asi.nic.in/</t>
        </is>
      </c>
      <c r="X105" s="2" t="inlineStr">
        <is>
          <t>British Museum Collection</t>
        </is>
      </c>
      <c r="Y105" s="8" t="inlineStr">
        <is>
          <t>https://www.britishmuseum.org/collection</t>
        </is>
      </c>
      <c r="Z105" s="2" t="inlineStr">
        <is>
          <t>UNESCO</t>
        </is>
      </c>
      <c r="AA105" s="8" t="inlineStr">
        <is>
          <t>https://whc.unesco.org/</t>
        </is>
      </c>
      <c r="AB105" s="2" t="inlineStr">
        <is>
          <t>UNESCO</t>
        </is>
      </c>
      <c r="AC105" s="8" t="inlineStr">
        <is>
          <t>https://whc.unesco.org/</t>
        </is>
      </c>
      <c r="AD105" s="2" t="inlineStr">
        <is>
          <t>Indus seals corpus</t>
        </is>
      </c>
      <c r="AE105" s="2" t="inlineStr">
        <is>
          <t>Script remains undeciphered in mainstream scholarship.</t>
        </is>
      </c>
      <c r="AF105" s="2" t="inlineStr">
        <is>
          <t>Scripts; animals; administration</t>
        </is>
      </c>
      <c r="AG105" s="2" t="inlineStr">
        <is>
          <t>Critical</t>
        </is>
      </c>
      <c r="AH105" s="2" t="inlineStr">
        <is>
          <t>High</t>
        </is>
      </c>
      <c r="AI105" s="2" t="inlineStr"/>
      <c r="AJ105" t="inlineStr">
        <is>
          <t>https://gretil.sub.uni-goettingen.de/gretil.html</t>
        </is>
      </c>
      <c r="AK105" t="inlineStr">
        <is>
          <t>https://asi.nic.in/</t>
        </is>
      </c>
      <c r="AL105" t="inlineStr">
        <is>
          <t>https://www.britishmuseum.org/collection/search?keyword=Indus+seals+corpus</t>
        </is>
      </c>
      <c r="AM105" t="inlineStr">
        <is>
          <t>https://whc.unesco.org/en/search/?searchterm=Indus+seals+corpus</t>
        </is>
      </c>
      <c r="AN105" t="inlineStr">
        <is>
          <t>https://whc.unesco.org/en/search/?searchterm=Indus+seals+corpus</t>
        </is>
      </c>
      <c r="AO105" t="inlineStr">
        <is>
          <t>1) Fact base: GRETIL. 2) Translation/text: ASI. 3) Images/objects: British Museum Collection. 4) Context/explanation: UNESCO. 5) Geography/maps: UNESCO. Use Suggested_Search_Term inside each portal.</t>
        </is>
      </c>
      <c r="AP105" t="inlineStr">
        <is>
          <t>Mixed: direct portal homepages plus search-result URLs where the portal exposes a public search endpoint.</t>
        </is>
      </c>
    </row>
    <row r="106">
      <c r="A106" s="2" t="n">
        <v>105</v>
      </c>
      <c r="B106" s="7" t="inlineStr">
        <is>
          <t>BCE_to_1AD</t>
        </is>
      </c>
      <c r="C106" s="2" t="inlineStr">
        <is>
          <t>South Asia</t>
        </is>
      </c>
      <c r="D106" s="2" t="inlineStr">
        <is>
          <t>South Asian traditions</t>
        </is>
      </c>
      <c r="E106" s="2" t="n">
        <v>-2350</v>
      </c>
      <c r="F106" s="2" t="n">
        <v>-2000</v>
      </c>
      <c r="G106" s="2" t="inlineStr">
        <is>
          <t>c. 2350 BCE to 2000 BCE</t>
        </is>
      </c>
      <c r="H106" s="2" t="inlineStr">
        <is>
          <t>Pashupati seal</t>
        </is>
      </c>
      <c r="I106" s="2" t="inlineStr">
        <is>
          <t>Artifact</t>
        </is>
      </c>
      <c r="J106" s="2" t="inlineStr">
        <is>
          <t>Seal image</t>
        </is>
      </c>
      <c r="K106" s="2" t="inlineStr">
        <is>
          <t>Iconography</t>
        </is>
      </c>
      <c r="L106" s="2" t="inlineStr">
        <is>
          <t>Proto-Shiva debates</t>
        </is>
      </c>
      <c r="M106" s="2" t="inlineStr">
        <is>
          <t>Pakistan</t>
        </is>
      </c>
      <c r="N106" s="2" t="inlineStr">
        <is>
          <t>Mohenjo-daro</t>
        </is>
      </c>
      <c r="O106" s="2" t="inlineStr">
        <is>
          <t>Famous seal showing seated horned figure amid animals.</t>
        </is>
      </c>
      <c r="P106" s="2" t="inlineStr">
        <is>
          <t>A magnet for comparative religion and deep-civilization arguments.</t>
        </is>
      </c>
      <c r="Q106" s="2" t="inlineStr">
        <is>
          <t>High</t>
        </is>
      </c>
      <c r="R106" s="2" t="inlineStr">
        <is>
          <t>No (script undeciphered)</t>
        </is>
      </c>
      <c r="S106" s="2" t="inlineStr">
        <is>
          <t>High</t>
        </is>
      </c>
      <c r="T106" s="2" t="inlineStr">
        <is>
          <t>GRETIL</t>
        </is>
      </c>
      <c r="U106" s="8" t="inlineStr">
        <is>
          <t>https://gretil.sub.uni-goettingen.de/gretil.html</t>
        </is>
      </c>
      <c r="V106" s="2" t="inlineStr">
        <is>
          <t>ASI</t>
        </is>
      </c>
      <c r="W106" s="8" t="inlineStr">
        <is>
          <t>https://asi.nic.in/</t>
        </is>
      </c>
      <c r="X106" s="2" t="inlineStr">
        <is>
          <t>British Museum Collection</t>
        </is>
      </c>
      <c r="Y106" s="8" t="inlineStr">
        <is>
          <t>https://www.britishmuseum.org/collection</t>
        </is>
      </c>
      <c r="Z106" s="2" t="inlineStr">
        <is>
          <t>UNESCO</t>
        </is>
      </c>
      <c r="AA106" s="8" t="inlineStr">
        <is>
          <t>https://whc.unesco.org/</t>
        </is>
      </c>
      <c r="AB106" s="2" t="inlineStr">
        <is>
          <t>UNESCO</t>
        </is>
      </c>
      <c r="AC106" s="8" t="inlineStr">
        <is>
          <t>https://whc.unesco.org/</t>
        </is>
      </c>
      <c r="AD106" s="2" t="inlineStr">
        <is>
          <t>Pashupati seal</t>
        </is>
      </c>
      <c r="AE106" s="2" t="inlineStr">
        <is>
          <t>Interpretation is debated; object is secure.</t>
        </is>
      </c>
      <c r="AF106" s="2" t="inlineStr">
        <is>
          <t>Lord of animals; yogic posture claims</t>
        </is>
      </c>
      <c r="AG106" s="2" t="inlineStr">
        <is>
          <t>High</t>
        </is>
      </c>
      <c r="AH106" s="2" t="inlineStr">
        <is>
          <t>High</t>
        </is>
      </c>
      <c r="AI106" s="2" t="inlineStr"/>
      <c r="AJ106" t="inlineStr">
        <is>
          <t>https://gretil.sub.uni-goettingen.de/gretil.html</t>
        </is>
      </c>
      <c r="AK106" t="inlineStr">
        <is>
          <t>https://asi.nic.in/</t>
        </is>
      </c>
      <c r="AL106" t="inlineStr">
        <is>
          <t>https://www.britishmuseum.org/collection/search?keyword=Pashupati+seal</t>
        </is>
      </c>
      <c r="AM106" t="inlineStr">
        <is>
          <t>https://whc.unesco.org/en/search/?searchterm=Pashupati+seal</t>
        </is>
      </c>
      <c r="AN106" t="inlineStr">
        <is>
          <t>https://whc.unesco.org/en/search/?searchterm=Pashupati+seal</t>
        </is>
      </c>
      <c r="AO106" t="inlineStr">
        <is>
          <t>1) Fact base: GRETIL. 2) Translation/text: ASI. 3) Images/objects: British Museum Collection. 4) Context/explanation: UNESCO. 5) Geography/maps: UNESCO. Use Suggested_Search_Term inside each portal.</t>
        </is>
      </c>
      <c r="AP106" t="inlineStr">
        <is>
          <t>Mixed: direct portal homepages plus search-result URLs where the portal exposes a public search endpoint.</t>
        </is>
      </c>
    </row>
    <row r="107">
      <c r="A107" s="2" t="n">
        <v>106</v>
      </c>
      <c r="B107" s="7" t="inlineStr">
        <is>
          <t>BCE_to_1AD</t>
        </is>
      </c>
      <c r="C107" s="2" t="inlineStr">
        <is>
          <t>South Asia</t>
        </is>
      </c>
      <c r="D107" s="2" t="inlineStr">
        <is>
          <t>South Asian traditions</t>
        </is>
      </c>
      <c r="E107" s="2" t="n">
        <v>-1500</v>
      </c>
      <c r="F107" s="2" t="n">
        <v>-1200</v>
      </c>
      <c r="G107" s="2" t="inlineStr">
        <is>
          <t>c. 1500 BCE to 1200 BCE</t>
        </is>
      </c>
      <c r="H107" s="2" t="inlineStr">
        <is>
          <t>Rigveda</t>
        </is>
      </c>
      <c r="I107" s="2" t="inlineStr">
        <is>
          <t>Text tradition</t>
        </is>
      </c>
      <c r="J107" s="2" t="inlineStr">
        <is>
          <t>Oral-to-written tradition</t>
        </is>
      </c>
      <c r="K107" s="2" t="inlineStr">
        <is>
          <t>Creation</t>
        </is>
      </c>
      <c r="L107" s="2" t="inlineStr">
        <is>
          <t>Sacrifice</t>
        </is>
      </c>
      <c r="M107" s="2" t="inlineStr">
        <is>
          <t>India</t>
        </is>
      </c>
      <c r="N107" s="2" t="inlineStr">
        <is>
          <t>Early Vedic northwestern South Asia</t>
        </is>
      </c>
      <c r="O107" s="2" t="inlineStr">
        <is>
          <t>Oldest Vedic hymn collection preserving ritual, cosmology, and deity traditions.</t>
        </is>
      </c>
      <c r="P107" s="2" t="inlineStr">
        <is>
          <t>Core for ancient Indian cosmology and flood/comparison work.</t>
        </is>
      </c>
      <c r="Q107" s="2" t="inlineStr">
        <is>
          <t>High</t>
        </is>
      </c>
      <c r="R107" s="2" t="inlineStr">
        <is>
          <t>High</t>
        </is>
      </c>
      <c r="S107" s="2" t="inlineStr">
        <is>
          <t>Low</t>
        </is>
      </c>
      <c r="T107" s="2" t="inlineStr">
        <is>
          <t>GRETIL</t>
        </is>
      </c>
      <c r="U107" s="8" t="inlineStr">
        <is>
          <t>https://gretil.sub.uni-goettingen.de/gretil.html</t>
        </is>
      </c>
      <c r="V107" s="2" t="inlineStr">
        <is>
          <t>Wisdom Library</t>
        </is>
      </c>
      <c r="W107" s="8" t="inlineStr">
        <is>
          <t>https://www.wisdomlib.org/</t>
        </is>
      </c>
      <c r="X107" s="2" t="inlineStr">
        <is>
          <t>British Museum Collection</t>
        </is>
      </c>
      <c r="Y107" s="8" t="inlineStr">
        <is>
          <t>https://www.britishmuseum.org/collection</t>
        </is>
      </c>
      <c r="Z107" s="2" t="inlineStr">
        <is>
          <t>UNESCO</t>
        </is>
      </c>
      <c r="AA107" s="8" t="inlineStr">
        <is>
          <t>https://whc.unesco.org/</t>
        </is>
      </c>
      <c r="AB107" s="2" t="inlineStr">
        <is>
          <t>UNESCO</t>
        </is>
      </c>
      <c r="AC107" s="8" t="inlineStr">
        <is>
          <t>https://whc.unesco.org/</t>
        </is>
      </c>
      <c r="AD107" s="2" t="inlineStr">
        <is>
          <t>Rigveda translation</t>
        </is>
      </c>
      <c r="AE107" s="2" t="inlineStr">
        <is>
          <t>Preserved orally long before manuscript witnesses.</t>
        </is>
      </c>
      <c r="AF107" s="2" t="inlineStr">
        <is>
          <t>Creation hymns; Indra; cosmic order</t>
        </is>
      </c>
      <c r="AG107" s="2" t="inlineStr">
        <is>
          <t>Critical</t>
        </is>
      </c>
      <c r="AH107" s="2" t="inlineStr">
        <is>
          <t>High</t>
        </is>
      </c>
      <c r="AI107" s="2" t="inlineStr"/>
      <c r="AJ107" t="inlineStr">
        <is>
          <t>https://gretil.sub.uni-goettingen.de/gretil.html</t>
        </is>
      </c>
      <c r="AK107" t="inlineStr">
        <is>
          <t>https://www.wisdomlib.org/</t>
        </is>
      </c>
      <c r="AL107" t="inlineStr">
        <is>
          <t>https://www.britishmuseum.org/collection/search?keyword=Rigveda+translation</t>
        </is>
      </c>
      <c r="AM107" t="inlineStr">
        <is>
          <t>https://whc.unesco.org/en/search/?searchterm=Rigveda+translation</t>
        </is>
      </c>
      <c r="AN107" t="inlineStr">
        <is>
          <t>https://whc.unesco.org/en/search/?searchterm=Rigveda+translation</t>
        </is>
      </c>
      <c r="AO107" t="inlineStr">
        <is>
          <t>1) Fact base: GRETIL. 2) Translation/text: Wisdom Library. 3) Images/objects: British Museum Collection. 4) Context/explanation: UNESCO. 5) Geography/maps: UNESCO. Use Suggested_Search_Term inside each portal.</t>
        </is>
      </c>
      <c r="AP107" t="inlineStr">
        <is>
          <t>Mixed: direct portal homepages plus search-result URLs where the portal exposes a public search endpoint.</t>
        </is>
      </c>
    </row>
    <row r="108">
      <c r="A108" s="2" t="n">
        <v>107</v>
      </c>
      <c r="B108" s="7" t="inlineStr">
        <is>
          <t>BCE_to_1AD</t>
        </is>
      </c>
      <c r="C108" s="2" t="inlineStr">
        <is>
          <t>South Asia</t>
        </is>
      </c>
      <c r="D108" s="2" t="inlineStr">
        <is>
          <t>South Asian traditions</t>
        </is>
      </c>
      <c r="E108" s="2" t="n">
        <v>-1200</v>
      </c>
      <c r="F108" s="2" t="n">
        <v>-800</v>
      </c>
      <c r="G108" s="2" t="inlineStr">
        <is>
          <t>c. 1200 BCE to 800 BCE</t>
        </is>
      </c>
      <c r="H108" s="2" t="inlineStr">
        <is>
          <t>Yajurveda</t>
        </is>
      </c>
      <c r="I108" s="2" t="inlineStr">
        <is>
          <t>Text tradition</t>
        </is>
      </c>
      <c r="J108" s="2" t="inlineStr">
        <is>
          <t>Oral-to-written tradition</t>
        </is>
      </c>
      <c r="K108" s="2" t="inlineStr">
        <is>
          <t>Ritual</t>
        </is>
      </c>
      <c r="L108" s="2" t="inlineStr">
        <is>
          <t>Sacrifice</t>
        </is>
      </c>
      <c r="M108" s="2" t="inlineStr">
        <is>
          <t>India</t>
        </is>
      </c>
      <c r="N108" s="2" t="inlineStr">
        <is>
          <t>Vedic tradition</t>
        </is>
      </c>
      <c r="O108" s="2" t="inlineStr">
        <is>
          <t>Prose and verse material for sacrificial performance.</t>
        </is>
      </c>
      <c r="P108" s="2" t="inlineStr">
        <is>
          <t>Useful for ritual technology and priestly order.</t>
        </is>
      </c>
      <c r="Q108" s="2" t="inlineStr">
        <is>
          <t>Medium</t>
        </is>
      </c>
      <c r="R108" s="2" t="inlineStr">
        <is>
          <t>High</t>
        </is>
      </c>
      <c r="S108" s="2" t="inlineStr">
        <is>
          <t>Low</t>
        </is>
      </c>
      <c r="T108" s="2" t="inlineStr">
        <is>
          <t>GRETIL</t>
        </is>
      </c>
      <c r="U108" s="8" t="inlineStr">
        <is>
          <t>https://gretil.sub.uni-goettingen.de/gretil.html</t>
        </is>
      </c>
      <c r="V108" s="2" t="inlineStr">
        <is>
          <t>Wisdom Library</t>
        </is>
      </c>
      <c r="W108" s="8" t="inlineStr">
        <is>
          <t>https://www.wisdomlib.org/</t>
        </is>
      </c>
      <c r="X108" s="2" t="inlineStr">
        <is>
          <t>British Museum Collection</t>
        </is>
      </c>
      <c r="Y108" s="8" t="inlineStr">
        <is>
          <t>https://www.britishmuseum.org/collection</t>
        </is>
      </c>
      <c r="Z108" s="2" t="inlineStr">
        <is>
          <t>UNESCO</t>
        </is>
      </c>
      <c r="AA108" s="8" t="inlineStr">
        <is>
          <t>https://whc.unesco.org/</t>
        </is>
      </c>
      <c r="AB108" s="2" t="inlineStr">
        <is>
          <t>UNESCO</t>
        </is>
      </c>
      <c r="AC108" s="8" t="inlineStr">
        <is>
          <t>https://whc.unesco.org/</t>
        </is>
      </c>
      <c r="AD108" s="2" t="inlineStr">
        <is>
          <t>Yajurveda translation</t>
        </is>
      </c>
      <c r="AE108" s="2" t="inlineStr">
        <is>
          <t>Best paired with Brahmanas.</t>
        </is>
      </c>
      <c r="AF108" s="2" t="inlineStr">
        <is>
          <t>Ritual order; sacred speech</t>
        </is>
      </c>
      <c r="AG108" s="2" t="inlineStr">
        <is>
          <t>Medium</t>
        </is>
      </c>
      <c r="AH108" s="2" t="inlineStr">
        <is>
          <t>Medium</t>
        </is>
      </c>
      <c r="AI108" s="2" t="inlineStr"/>
      <c r="AJ108" t="inlineStr">
        <is>
          <t>https://gretil.sub.uni-goettingen.de/gretil.html</t>
        </is>
      </c>
      <c r="AK108" t="inlineStr">
        <is>
          <t>https://www.wisdomlib.org/</t>
        </is>
      </c>
      <c r="AL108" t="inlineStr">
        <is>
          <t>https://www.britishmuseum.org/collection/search?keyword=Yajurveda+translation</t>
        </is>
      </c>
      <c r="AM108" t="inlineStr">
        <is>
          <t>https://whc.unesco.org/en/search/?searchterm=Yajurveda+translation</t>
        </is>
      </c>
      <c r="AN108" t="inlineStr">
        <is>
          <t>https://whc.unesco.org/en/search/?searchterm=Yajurveda+translation</t>
        </is>
      </c>
      <c r="AO108" t="inlineStr">
        <is>
          <t>1) Fact base: GRETIL. 2) Translation/text: Wisdom Library. 3) Images/objects: British Museum Collection. 4) Context/explanation: UNESCO. 5) Geography/maps: UNESCO. Use Suggested_Search_Term inside each portal.</t>
        </is>
      </c>
      <c r="AP108" t="inlineStr">
        <is>
          <t>Mixed: direct portal homepages plus search-result URLs where the portal exposes a public search endpoint.</t>
        </is>
      </c>
    </row>
    <row r="109">
      <c r="A109" s="2" t="n">
        <v>108</v>
      </c>
      <c r="B109" s="7" t="inlineStr">
        <is>
          <t>BCE_to_1AD</t>
        </is>
      </c>
      <c r="C109" s="2" t="inlineStr">
        <is>
          <t>South Asia</t>
        </is>
      </c>
      <c r="D109" s="2" t="inlineStr">
        <is>
          <t>South Asian traditions</t>
        </is>
      </c>
      <c r="E109" s="2" t="n">
        <v>-1200</v>
      </c>
      <c r="F109" s="2" t="n">
        <v>-800</v>
      </c>
      <c r="G109" s="2" t="inlineStr">
        <is>
          <t>c. 1200 BCE to 800 BCE</t>
        </is>
      </c>
      <c r="H109" s="2" t="inlineStr">
        <is>
          <t>Samaveda</t>
        </is>
      </c>
      <c r="I109" s="2" t="inlineStr">
        <is>
          <t>Text tradition</t>
        </is>
      </c>
      <c r="J109" s="2" t="inlineStr">
        <is>
          <t>Oral-to-written tradition</t>
        </is>
      </c>
      <c r="K109" s="2" t="inlineStr">
        <is>
          <t>Chant</t>
        </is>
      </c>
      <c r="L109" s="2" t="inlineStr">
        <is>
          <t>Sacrifice</t>
        </is>
      </c>
      <c r="M109" s="2" t="inlineStr">
        <is>
          <t>India</t>
        </is>
      </c>
      <c r="N109" s="2" t="inlineStr">
        <is>
          <t>Vedic tradition</t>
        </is>
      </c>
      <c r="O109" s="2" t="inlineStr">
        <is>
          <t>Collection primarily organized for chant performance.</t>
        </is>
      </c>
      <c r="P109" s="2" t="inlineStr">
        <is>
          <t>Important for sound, recitation, and ritual transmission.</t>
        </is>
      </c>
      <c r="Q109" s="2" t="inlineStr">
        <is>
          <t>Medium</t>
        </is>
      </c>
      <c r="R109" s="2" t="inlineStr">
        <is>
          <t>High</t>
        </is>
      </c>
      <c r="S109" s="2" t="inlineStr">
        <is>
          <t>Low</t>
        </is>
      </c>
      <c r="T109" s="2" t="inlineStr">
        <is>
          <t>GRETIL</t>
        </is>
      </c>
      <c r="U109" s="8" t="inlineStr">
        <is>
          <t>https://gretil.sub.uni-goettingen.de/gretil.html</t>
        </is>
      </c>
      <c r="V109" s="2" t="inlineStr">
        <is>
          <t>Wisdom Library</t>
        </is>
      </c>
      <c r="W109" s="8" t="inlineStr">
        <is>
          <t>https://www.wisdomlib.org/</t>
        </is>
      </c>
      <c r="X109" s="2" t="inlineStr">
        <is>
          <t>British Museum Collection</t>
        </is>
      </c>
      <c r="Y109" s="8" t="inlineStr">
        <is>
          <t>https://www.britishmuseum.org/collection</t>
        </is>
      </c>
      <c r="Z109" s="2" t="inlineStr">
        <is>
          <t>UNESCO</t>
        </is>
      </c>
      <c r="AA109" s="8" t="inlineStr">
        <is>
          <t>https://whc.unesco.org/</t>
        </is>
      </c>
      <c r="AB109" s="2" t="inlineStr">
        <is>
          <t>UNESCO</t>
        </is>
      </c>
      <c r="AC109" s="8" t="inlineStr">
        <is>
          <t>https://whc.unesco.org/</t>
        </is>
      </c>
      <c r="AD109" s="2" t="inlineStr">
        <is>
          <t>Samaveda translation</t>
        </is>
      </c>
      <c r="AE109" s="2" t="inlineStr">
        <is>
          <t>Focus on performance context.</t>
        </is>
      </c>
      <c r="AF109" s="2" t="inlineStr">
        <is>
          <t>Sacred sound; liturgy</t>
        </is>
      </c>
      <c r="AG109" s="2" t="inlineStr">
        <is>
          <t>Medium</t>
        </is>
      </c>
      <c r="AH109" s="2" t="inlineStr">
        <is>
          <t>Medium</t>
        </is>
      </c>
      <c r="AI109" s="2" t="inlineStr"/>
      <c r="AJ109" t="inlineStr">
        <is>
          <t>https://gretil.sub.uni-goettingen.de/gretil.html</t>
        </is>
      </c>
      <c r="AK109" t="inlineStr">
        <is>
          <t>https://www.wisdomlib.org/</t>
        </is>
      </c>
      <c r="AL109" t="inlineStr">
        <is>
          <t>https://www.britishmuseum.org/collection/search?keyword=Samaveda+translation</t>
        </is>
      </c>
      <c r="AM109" t="inlineStr">
        <is>
          <t>https://whc.unesco.org/en/search/?searchterm=Samaveda+translation</t>
        </is>
      </c>
      <c r="AN109" t="inlineStr">
        <is>
          <t>https://whc.unesco.org/en/search/?searchterm=Samaveda+translation</t>
        </is>
      </c>
      <c r="AO109" t="inlineStr">
        <is>
          <t>1) Fact base: GRETIL. 2) Translation/text: Wisdom Library. 3) Images/objects: British Museum Collection. 4) Context/explanation: UNESCO. 5) Geography/maps: UNESCO. Use Suggested_Search_Term inside each portal.</t>
        </is>
      </c>
      <c r="AP109" t="inlineStr">
        <is>
          <t>Mixed: direct portal homepages plus search-result URLs where the portal exposes a public search endpoint.</t>
        </is>
      </c>
    </row>
    <row r="110">
      <c r="A110" s="2" t="n">
        <v>109</v>
      </c>
      <c r="B110" s="7" t="inlineStr">
        <is>
          <t>BCE_to_1AD</t>
        </is>
      </c>
      <c r="C110" s="2" t="inlineStr">
        <is>
          <t>South Asia</t>
        </is>
      </c>
      <c r="D110" s="2" t="inlineStr">
        <is>
          <t>South Asian traditions</t>
        </is>
      </c>
      <c r="E110" s="2" t="n">
        <v>-1200</v>
      </c>
      <c r="F110" s="2" t="n">
        <v>-900</v>
      </c>
      <c r="G110" s="2" t="inlineStr">
        <is>
          <t>c. 1200 BCE to 900 BCE</t>
        </is>
      </c>
      <c r="H110" s="2" t="inlineStr">
        <is>
          <t>Atharvaveda</t>
        </is>
      </c>
      <c r="I110" s="2" t="inlineStr">
        <is>
          <t>Text tradition</t>
        </is>
      </c>
      <c r="J110" s="2" t="inlineStr">
        <is>
          <t>Oral-to-written tradition</t>
        </is>
      </c>
      <c r="K110" s="2" t="inlineStr">
        <is>
          <t>Magic</t>
        </is>
      </c>
      <c r="L110" s="2" t="inlineStr">
        <is>
          <t>Domestic ritual</t>
        </is>
      </c>
      <c r="M110" s="2" t="inlineStr">
        <is>
          <t>India</t>
        </is>
      </c>
      <c r="N110" s="2" t="inlineStr">
        <is>
          <t>Vedic tradition</t>
        </is>
      </c>
      <c r="O110" s="2" t="inlineStr">
        <is>
          <t>Collection including charms, healing, kingship, and speculative hymns.</t>
        </is>
      </c>
      <c r="P110" s="2" t="inlineStr">
        <is>
          <t>Useful for everyday and apotropaic religion.</t>
        </is>
      </c>
      <c r="Q110" s="2" t="inlineStr">
        <is>
          <t>Medium</t>
        </is>
      </c>
      <c r="R110" s="2" t="inlineStr">
        <is>
          <t>High</t>
        </is>
      </c>
      <c r="S110" s="2" t="inlineStr">
        <is>
          <t>Low</t>
        </is>
      </c>
      <c r="T110" s="2" t="inlineStr">
        <is>
          <t>GRETIL</t>
        </is>
      </c>
      <c r="U110" s="8" t="inlineStr">
        <is>
          <t>https://gretil.sub.uni-goettingen.de/gretil.html</t>
        </is>
      </c>
      <c r="V110" s="2" t="inlineStr">
        <is>
          <t>Wisdom Library</t>
        </is>
      </c>
      <c r="W110" s="8" t="inlineStr">
        <is>
          <t>https://www.wisdomlib.org/</t>
        </is>
      </c>
      <c r="X110" s="2" t="inlineStr">
        <is>
          <t>British Museum Collection</t>
        </is>
      </c>
      <c r="Y110" s="8" t="inlineStr">
        <is>
          <t>https://www.britishmuseum.org/collection</t>
        </is>
      </c>
      <c r="Z110" s="2" t="inlineStr">
        <is>
          <t>UNESCO</t>
        </is>
      </c>
      <c r="AA110" s="8" t="inlineStr">
        <is>
          <t>https://whc.unesco.org/</t>
        </is>
      </c>
      <c r="AB110" s="2" t="inlineStr">
        <is>
          <t>UNESCO</t>
        </is>
      </c>
      <c r="AC110" s="8" t="inlineStr">
        <is>
          <t>https://whc.unesco.org/</t>
        </is>
      </c>
      <c r="AD110" s="2" t="inlineStr">
        <is>
          <t>Atharvaveda translation</t>
        </is>
      </c>
      <c r="AE110" s="2" t="inlineStr">
        <is>
          <t>Valuable complement to elite sacrificial texts.</t>
        </is>
      </c>
      <c r="AF110" s="2" t="inlineStr">
        <is>
          <t>Healing; charms; kingship</t>
        </is>
      </c>
      <c r="AG110" s="2" t="inlineStr">
        <is>
          <t>Medium</t>
        </is>
      </c>
      <c r="AH110" s="2" t="inlineStr">
        <is>
          <t>Medium</t>
        </is>
      </c>
      <c r="AI110" s="2" t="inlineStr"/>
      <c r="AJ110" t="inlineStr">
        <is>
          <t>https://gretil.sub.uni-goettingen.de/gretil.html</t>
        </is>
      </c>
      <c r="AK110" t="inlineStr">
        <is>
          <t>https://www.wisdomlib.org/</t>
        </is>
      </c>
      <c r="AL110" t="inlineStr">
        <is>
          <t>https://www.britishmuseum.org/collection/search?keyword=Atharvaveda+translation</t>
        </is>
      </c>
      <c r="AM110" t="inlineStr">
        <is>
          <t>https://whc.unesco.org/en/search/?searchterm=Atharvaveda+translation</t>
        </is>
      </c>
      <c r="AN110" t="inlineStr">
        <is>
          <t>https://whc.unesco.org/en/search/?searchterm=Atharvaveda+translation</t>
        </is>
      </c>
      <c r="AO110" t="inlineStr">
        <is>
          <t>1) Fact base: GRETIL. 2) Translation/text: Wisdom Library. 3) Images/objects: British Museum Collection. 4) Context/explanation: UNESCO. 5) Geography/maps: UNESCO. Use Suggested_Search_Term inside each portal.</t>
        </is>
      </c>
      <c r="AP110" t="inlineStr">
        <is>
          <t>Mixed: direct portal homepages plus search-result URLs where the portal exposes a public search endpoint.</t>
        </is>
      </c>
    </row>
    <row r="111">
      <c r="A111" s="2" t="n">
        <v>110</v>
      </c>
      <c r="B111" s="7" t="inlineStr">
        <is>
          <t>BCE_to_1AD</t>
        </is>
      </c>
      <c r="C111" s="2" t="inlineStr">
        <is>
          <t>South Asia</t>
        </is>
      </c>
      <c r="D111" s="2" t="inlineStr">
        <is>
          <t>South Asian traditions</t>
        </is>
      </c>
      <c r="E111" s="2" t="n">
        <v>-900</v>
      </c>
      <c r="F111" s="2" t="n">
        <v>-700</v>
      </c>
      <c r="G111" s="2" t="inlineStr">
        <is>
          <t>c. 900 BCE to 700 BCE</t>
        </is>
      </c>
      <c r="H111" s="2" t="inlineStr">
        <is>
          <t>Satapatha Brahmana</t>
        </is>
      </c>
      <c r="I111" s="2" t="inlineStr">
        <is>
          <t>Text tradition</t>
        </is>
      </c>
      <c r="J111" s="2" t="inlineStr">
        <is>
          <t>Oral-to-written tradition</t>
        </is>
      </c>
      <c r="K111" s="2" t="inlineStr">
        <is>
          <t>Ritual theory</t>
        </is>
      </c>
      <c r="L111" s="2" t="inlineStr">
        <is>
          <t>Flood</t>
        </is>
      </c>
      <c r="M111" s="2" t="inlineStr">
        <is>
          <t>India</t>
        </is>
      </c>
      <c r="N111" s="2" t="inlineStr">
        <is>
          <t>Late Vedic tradition</t>
        </is>
      </c>
      <c r="O111" s="2" t="inlineStr">
        <is>
          <t>Major Brahmana text including the Manu flood narrative and ritual exegesis.</t>
        </is>
      </c>
      <c r="P111" s="2" t="inlineStr">
        <is>
          <t>A must-have for flood comparison across civilizations.</t>
        </is>
      </c>
      <c r="Q111" s="2" t="inlineStr">
        <is>
          <t>High</t>
        </is>
      </c>
      <c r="R111" s="2" t="inlineStr">
        <is>
          <t>High</t>
        </is>
      </c>
      <c r="S111" s="2" t="inlineStr">
        <is>
          <t>Low</t>
        </is>
      </c>
      <c r="T111" s="2" t="inlineStr">
        <is>
          <t>GRETIL</t>
        </is>
      </c>
      <c r="U111" s="8" t="inlineStr">
        <is>
          <t>https://gretil.sub.uni-goettingen.de/gretil.html</t>
        </is>
      </c>
      <c r="V111" s="2" t="inlineStr">
        <is>
          <t>Wisdom Library</t>
        </is>
      </c>
      <c r="W111" s="8" t="inlineStr">
        <is>
          <t>https://www.wisdomlib.org/</t>
        </is>
      </c>
      <c r="X111" s="2" t="inlineStr">
        <is>
          <t>British Museum Collection</t>
        </is>
      </c>
      <c r="Y111" s="8" t="inlineStr">
        <is>
          <t>https://www.britishmuseum.org/collection</t>
        </is>
      </c>
      <c r="Z111" s="2" t="inlineStr">
        <is>
          <t>UNESCO</t>
        </is>
      </c>
      <c r="AA111" s="8" t="inlineStr">
        <is>
          <t>https://whc.unesco.org/</t>
        </is>
      </c>
      <c r="AB111" s="2" t="inlineStr">
        <is>
          <t>UNESCO</t>
        </is>
      </c>
      <c r="AC111" s="8" t="inlineStr">
        <is>
          <t>https://whc.unesco.org/</t>
        </is>
      </c>
      <c r="AD111" s="2" t="inlineStr">
        <is>
          <t>Satapatha Brahmana Manu</t>
        </is>
      </c>
      <c r="AE111" s="2" t="inlineStr">
        <is>
          <t>Dense ritual prose; use reliable translations.</t>
        </is>
      </c>
      <c r="AF111" s="2" t="inlineStr">
        <is>
          <t>Flood hero; sacrifice; cosmic order</t>
        </is>
      </c>
      <c r="AG111" s="2" t="inlineStr">
        <is>
          <t>Critical</t>
        </is>
      </c>
      <c r="AH111" s="2" t="inlineStr">
        <is>
          <t>High</t>
        </is>
      </c>
      <c r="AI111" s="2" t="inlineStr"/>
      <c r="AJ111" t="inlineStr">
        <is>
          <t>https://gretil.sub.uni-goettingen.de/gretil.html</t>
        </is>
      </c>
      <c r="AK111" t="inlineStr">
        <is>
          <t>https://www.wisdomlib.org/</t>
        </is>
      </c>
      <c r="AL111" t="inlineStr">
        <is>
          <t>https://www.britishmuseum.org/collection/search?keyword=Satapatha+Brahmana+Manu</t>
        </is>
      </c>
      <c r="AM111" t="inlineStr">
        <is>
          <t>https://whc.unesco.org/en/search/?searchterm=Satapatha+Brahmana+Manu</t>
        </is>
      </c>
      <c r="AN111" t="inlineStr">
        <is>
          <t>https://whc.unesco.org/en/search/?searchterm=Satapatha+Brahmana+Manu</t>
        </is>
      </c>
      <c r="AO111" t="inlineStr">
        <is>
          <t>1) Fact base: GRETIL. 2) Translation/text: Wisdom Library. 3) Images/objects: British Museum Collection. 4) Context/explanation: UNESCO. 5) Geography/maps: UNESCO. Use Suggested_Search_Term inside each portal.</t>
        </is>
      </c>
      <c r="AP111" t="inlineStr">
        <is>
          <t>Mixed: direct portal homepages plus search-result URLs where the portal exposes a public search endpoint.</t>
        </is>
      </c>
    </row>
    <row r="112">
      <c r="A112" s="2" t="n">
        <v>111</v>
      </c>
      <c r="B112" s="7" t="inlineStr">
        <is>
          <t>BCE_to_1AD</t>
        </is>
      </c>
      <c r="C112" s="2" t="inlineStr">
        <is>
          <t>South Asia</t>
        </is>
      </c>
      <c r="D112" s="2" t="inlineStr">
        <is>
          <t>South Asian traditions</t>
        </is>
      </c>
      <c r="E112" s="2" t="n">
        <v>-800</v>
      </c>
      <c r="F112" s="2" t="n">
        <v>-600</v>
      </c>
      <c r="G112" s="2" t="inlineStr">
        <is>
          <t>c. 800 BCE to 600 BCE</t>
        </is>
      </c>
      <c r="H112" s="2" t="inlineStr">
        <is>
          <t>Brihadaranyaka Upanishad</t>
        </is>
      </c>
      <c r="I112" s="2" t="inlineStr">
        <is>
          <t>Text tradition</t>
        </is>
      </c>
      <c r="J112" s="2" t="inlineStr">
        <is>
          <t>Oral-to-written tradition</t>
        </is>
      </c>
      <c r="K112" s="2" t="inlineStr">
        <is>
          <t>Cosmology</t>
        </is>
      </c>
      <c r="L112" s="2" t="inlineStr">
        <is>
          <t>Philosophy</t>
        </is>
      </c>
      <c r="M112" s="2" t="inlineStr">
        <is>
          <t>India</t>
        </is>
      </c>
      <c r="N112" s="2" t="inlineStr">
        <is>
          <t>Late Vedic tradition</t>
        </is>
      </c>
      <c r="O112" s="2" t="inlineStr">
        <is>
          <t>Early Upanishadic text exploring self, creation, and ultimate reality.</t>
        </is>
      </c>
      <c r="P112" s="2" t="inlineStr">
        <is>
          <t>Important for philosophical transformations of Vedic cosmology.</t>
        </is>
      </c>
      <c r="Q112" s="2" t="inlineStr">
        <is>
          <t>Medium</t>
        </is>
      </c>
      <c r="R112" s="2" t="inlineStr">
        <is>
          <t>High</t>
        </is>
      </c>
      <c r="S112" s="2" t="inlineStr">
        <is>
          <t>Low</t>
        </is>
      </c>
      <c r="T112" s="2" t="inlineStr">
        <is>
          <t>GRETIL</t>
        </is>
      </c>
      <c r="U112" s="8" t="inlineStr">
        <is>
          <t>https://gretil.sub.uni-goettingen.de/gretil.html</t>
        </is>
      </c>
      <c r="V112" s="2" t="inlineStr">
        <is>
          <t>Wisdom Library</t>
        </is>
      </c>
      <c r="W112" s="8" t="inlineStr">
        <is>
          <t>https://www.wisdomlib.org/</t>
        </is>
      </c>
      <c r="X112" s="2" t="inlineStr">
        <is>
          <t>British Museum Collection</t>
        </is>
      </c>
      <c r="Y112" s="8" t="inlineStr">
        <is>
          <t>https://www.britishmuseum.org/collection</t>
        </is>
      </c>
      <c r="Z112" s="2" t="inlineStr">
        <is>
          <t>UNESCO</t>
        </is>
      </c>
      <c r="AA112" s="8" t="inlineStr">
        <is>
          <t>https://whc.unesco.org/</t>
        </is>
      </c>
      <c r="AB112" s="2" t="inlineStr">
        <is>
          <t>UNESCO</t>
        </is>
      </c>
      <c r="AC112" s="8" t="inlineStr">
        <is>
          <t>https://whc.unesco.org/</t>
        </is>
      </c>
      <c r="AD112" s="2" t="inlineStr">
        <is>
          <t>Brihadaranyaka translation</t>
        </is>
      </c>
      <c r="AE112" s="2" t="inlineStr">
        <is>
          <t>Track layers and prose sections.</t>
        </is>
      </c>
      <c r="AF112" s="2" t="inlineStr">
        <is>
          <t>Creation; self; absolute</t>
        </is>
      </c>
      <c r="AG112" s="2" t="inlineStr">
        <is>
          <t>High</t>
        </is>
      </c>
      <c r="AH112" s="2" t="inlineStr">
        <is>
          <t>Medium</t>
        </is>
      </c>
      <c r="AI112" s="2" t="inlineStr"/>
      <c r="AJ112" t="inlineStr">
        <is>
          <t>https://gretil.sub.uni-goettingen.de/gretil.html</t>
        </is>
      </c>
      <c r="AK112" t="inlineStr">
        <is>
          <t>https://www.wisdomlib.org/</t>
        </is>
      </c>
      <c r="AL112" t="inlineStr">
        <is>
          <t>https://www.britishmuseum.org/collection/search?keyword=Brihadaranyaka+translation</t>
        </is>
      </c>
      <c r="AM112" t="inlineStr">
        <is>
          <t>https://whc.unesco.org/en/search/?searchterm=Brihadaranyaka+translation</t>
        </is>
      </c>
      <c r="AN112" t="inlineStr">
        <is>
          <t>https://whc.unesco.org/en/search/?searchterm=Brihadaranyaka+translation</t>
        </is>
      </c>
      <c r="AO112" t="inlineStr">
        <is>
          <t>1) Fact base: GRETIL. 2) Translation/text: Wisdom Library. 3) Images/objects: British Museum Collection. 4) Context/explanation: UNESCO. 5) Geography/maps: UNESCO. Use Suggested_Search_Term inside each portal.</t>
        </is>
      </c>
      <c r="AP112" t="inlineStr">
        <is>
          <t>Mixed: direct portal homepages plus search-result URLs where the portal exposes a public search endpoint.</t>
        </is>
      </c>
    </row>
    <row r="113">
      <c r="A113" s="2" t="n">
        <v>112</v>
      </c>
      <c r="B113" s="7" t="inlineStr">
        <is>
          <t>BCE_to_1AD</t>
        </is>
      </c>
      <c r="C113" s="2" t="inlineStr">
        <is>
          <t>South Asia</t>
        </is>
      </c>
      <c r="D113" s="2" t="inlineStr">
        <is>
          <t>South Asian traditions</t>
        </is>
      </c>
      <c r="E113" s="2" t="n">
        <v>-800</v>
      </c>
      <c r="F113" s="2" t="n">
        <v>-600</v>
      </c>
      <c r="G113" s="2" t="inlineStr">
        <is>
          <t>c. 800 BCE to 600 BCE</t>
        </is>
      </c>
      <c r="H113" s="2" t="inlineStr">
        <is>
          <t>Chandogya Upanishad</t>
        </is>
      </c>
      <c r="I113" s="2" t="inlineStr">
        <is>
          <t>Text tradition</t>
        </is>
      </c>
      <c r="J113" s="2" t="inlineStr">
        <is>
          <t>Oral-to-written tradition</t>
        </is>
      </c>
      <c r="K113" s="2" t="inlineStr">
        <is>
          <t>Cosmology</t>
        </is>
      </c>
      <c r="L113" s="2" t="inlineStr">
        <is>
          <t>Sacred speech</t>
        </is>
      </c>
      <c r="M113" s="2" t="inlineStr">
        <is>
          <t>India</t>
        </is>
      </c>
      <c r="N113" s="2" t="inlineStr">
        <is>
          <t>Late Vedic tradition</t>
        </is>
      </c>
      <c r="O113" s="2" t="inlineStr">
        <is>
          <t>Upanishadic text on ritual reinterpretation, sound, and reality.</t>
        </is>
      </c>
      <c r="P113" s="2" t="inlineStr">
        <is>
          <t>Useful for voice/sound/cosmos themes.</t>
        </is>
      </c>
      <c r="Q113" s="2" t="inlineStr">
        <is>
          <t>Medium</t>
        </is>
      </c>
      <c r="R113" s="2" t="inlineStr">
        <is>
          <t>High</t>
        </is>
      </c>
      <c r="S113" s="2" t="inlineStr">
        <is>
          <t>Low</t>
        </is>
      </c>
      <c r="T113" s="2" t="inlineStr">
        <is>
          <t>GRETIL</t>
        </is>
      </c>
      <c r="U113" s="8" t="inlineStr">
        <is>
          <t>https://gretil.sub.uni-goettingen.de/gretil.html</t>
        </is>
      </c>
      <c r="V113" s="2" t="inlineStr">
        <is>
          <t>Wisdom Library</t>
        </is>
      </c>
      <c r="W113" s="8" t="inlineStr">
        <is>
          <t>https://www.wisdomlib.org/</t>
        </is>
      </c>
      <c r="X113" s="2" t="inlineStr">
        <is>
          <t>British Museum Collection</t>
        </is>
      </c>
      <c r="Y113" s="8" t="inlineStr">
        <is>
          <t>https://www.britishmuseum.org/collection</t>
        </is>
      </c>
      <c r="Z113" s="2" t="inlineStr">
        <is>
          <t>UNESCO</t>
        </is>
      </c>
      <c r="AA113" s="8" t="inlineStr">
        <is>
          <t>https://whc.unesco.org/</t>
        </is>
      </c>
      <c r="AB113" s="2" t="inlineStr">
        <is>
          <t>UNESCO</t>
        </is>
      </c>
      <c r="AC113" s="8" t="inlineStr">
        <is>
          <t>https://whc.unesco.org/</t>
        </is>
      </c>
      <c r="AD113" s="2" t="inlineStr">
        <is>
          <t>Chandogya translation</t>
        </is>
      </c>
      <c r="AE113" s="2" t="inlineStr">
        <is>
          <t>Great for comparative sacred-speech work.</t>
        </is>
      </c>
      <c r="AF113" s="2" t="inlineStr">
        <is>
          <t>Om; sound; essence</t>
        </is>
      </c>
      <c r="AG113" s="2" t="inlineStr">
        <is>
          <t>High</t>
        </is>
      </c>
      <c r="AH113" s="2" t="inlineStr">
        <is>
          <t>Medium</t>
        </is>
      </c>
      <c r="AI113" s="2" t="inlineStr"/>
      <c r="AJ113" t="inlineStr">
        <is>
          <t>https://gretil.sub.uni-goettingen.de/gretil.html</t>
        </is>
      </c>
      <c r="AK113" t="inlineStr">
        <is>
          <t>https://www.wisdomlib.org/</t>
        </is>
      </c>
      <c r="AL113" t="inlineStr">
        <is>
          <t>https://www.britishmuseum.org/collection/search?keyword=Chandogya+translation</t>
        </is>
      </c>
      <c r="AM113" t="inlineStr">
        <is>
          <t>https://whc.unesco.org/en/search/?searchterm=Chandogya+translation</t>
        </is>
      </c>
      <c r="AN113" t="inlineStr">
        <is>
          <t>https://whc.unesco.org/en/search/?searchterm=Chandogya+translation</t>
        </is>
      </c>
      <c r="AO113" t="inlineStr">
        <is>
          <t>1) Fact base: GRETIL. 2) Translation/text: Wisdom Library. 3) Images/objects: British Museum Collection. 4) Context/explanation: UNESCO. 5) Geography/maps: UNESCO. Use Suggested_Search_Term inside each portal.</t>
        </is>
      </c>
      <c r="AP113" t="inlineStr">
        <is>
          <t>Mixed: direct portal homepages plus search-result URLs where the portal exposes a public search endpoint.</t>
        </is>
      </c>
    </row>
    <row r="114">
      <c r="A114" s="2" t="n">
        <v>113</v>
      </c>
      <c r="B114" s="9" t="inlineStr">
        <is>
          <t>Later_witness_or_post_1AD_relevance</t>
        </is>
      </c>
      <c r="C114" s="2" t="inlineStr">
        <is>
          <t>South Asia</t>
        </is>
      </c>
      <c r="D114" s="2" t="inlineStr">
        <is>
          <t>South Asian traditions</t>
        </is>
      </c>
      <c r="E114" s="2" t="n">
        <v>-400</v>
      </c>
      <c r="F114" s="2" t="n">
        <v>400</v>
      </c>
      <c r="G114" s="2" t="inlineStr">
        <is>
          <t>c. 400 BCE to 400 CE</t>
        </is>
      </c>
      <c r="H114" s="2" t="inlineStr">
        <is>
          <t>Mahabharata (early strata)</t>
        </is>
      </c>
      <c r="I114" s="2" t="inlineStr">
        <is>
          <t>Text tradition</t>
        </is>
      </c>
      <c r="J114" s="2" t="inlineStr">
        <is>
          <t>Later manuscript witness to older oral epic</t>
        </is>
      </c>
      <c r="K114" s="2" t="inlineStr">
        <is>
          <t>Epic</t>
        </is>
      </c>
      <c r="L114" s="2" t="inlineStr">
        <is>
          <t>Kingship and dharma</t>
        </is>
      </c>
      <c r="M114" s="2" t="inlineStr">
        <is>
          <t>India</t>
        </is>
      </c>
      <c r="N114" s="2" t="inlineStr">
        <is>
          <t>North India</t>
        </is>
      </c>
      <c r="O114" s="2" t="inlineStr">
        <is>
          <t>Massive Sanskrit epic whose core traditions likely crystallized in late BCE and early CE.</t>
        </is>
      </c>
      <c r="P114" s="2" t="inlineStr">
        <is>
          <t>Ancient-civilization theorists cite its cosmology, war scale, and technology imagery.</t>
        </is>
      </c>
      <c r="Q114" s="2" t="inlineStr">
        <is>
          <t>High</t>
        </is>
      </c>
      <c r="R114" s="2" t="inlineStr">
        <is>
          <t>High</t>
        </is>
      </c>
      <c r="S114" s="2" t="inlineStr">
        <is>
          <t>Low</t>
        </is>
      </c>
      <c r="T114" s="2" t="inlineStr">
        <is>
          <t>GRETIL</t>
        </is>
      </c>
      <c r="U114" s="8" t="inlineStr">
        <is>
          <t>https://gretil.sub.uni-goettingen.de/gretil.html</t>
        </is>
      </c>
      <c r="V114" s="2" t="inlineStr">
        <is>
          <t>Wisdom Library</t>
        </is>
      </c>
      <c r="W114" s="8" t="inlineStr">
        <is>
          <t>https://www.wisdomlib.org/</t>
        </is>
      </c>
      <c r="X114" s="2" t="inlineStr">
        <is>
          <t>British Museum Collection</t>
        </is>
      </c>
      <c r="Y114" s="8" t="inlineStr">
        <is>
          <t>https://www.britishmuseum.org/collection</t>
        </is>
      </c>
      <c r="Z114" s="2" t="inlineStr">
        <is>
          <t>UNESCO</t>
        </is>
      </c>
      <c r="AA114" s="8" t="inlineStr">
        <is>
          <t>https://whc.unesco.org/</t>
        </is>
      </c>
      <c r="AB114" s="2" t="inlineStr">
        <is>
          <t>UNESCO</t>
        </is>
      </c>
      <c r="AC114" s="8" t="inlineStr">
        <is>
          <t>https://whc.unesco.org/</t>
        </is>
      </c>
      <c r="AD114" s="2" t="inlineStr">
        <is>
          <t>Mahabharata translation</t>
        </is>
      </c>
      <c r="AE114" s="2" t="inlineStr">
        <is>
          <t>Not a single-date text; preserve stratification.</t>
        </is>
      </c>
      <c r="AF114" s="2" t="inlineStr">
        <is>
          <t>Epic war; divine weapons; dynastic memory</t>
        </is>
      </c>
      <c r="AG114" s="2" t="inlineStr">
        <is>
          <t>Critical</t>
        </is>
      </c>
      <c r="AH114" s="2" t="inlineStr">
        <is>
          <t>High</t>
        </is>
      </c>
      <c r="AI114" s="2" t="inlineStr"/>
      <c r="AJ114" t="inlineStr">
        <is>
          <t>https://gretil.sub.uni-goettingen.de/gretil.html</t>
        </is>
      </c>
      <c r="AK114" t="inlineStr">
        <is>
          <t>https://www.wisdomlib.org/</t>
        </is>
      </c>
      <c r="AL114" t="inlineStr">
        <is>
          <t>https://www.britishmuseum.org/collection/search?keyword=Mahabharata+translation</t>
        </is>
      </c>
      <c r="AM114" t="inlineStr">
        <is>
          <t>https://whc.unesco.org/en/search/?searchterm=Mahabharata+translation</t>
        </is>
      </c>
      <c r="AN114" t="inlineStr">
        <is>
          <t>https://whc.unesco.org/en/search/?searchterm=Mahabharata+translation</t>
        </is>
      </c>
      <c r="AO114" t="inlineStr">
        <is>
          <t>1) Fact base: GRETIL. 2) Translation/text: Wisdom Library. 3) Images/objects: British Museum Collection. 4) Context/explanation: UNESCO. 5) Geography/maps: UNESCO. Use Suggested_Search_Term inside each portal.</t>
        </is>
      </c>
      <c r="AP114" t="inlineStr">
        <is>
          <t>Mixed: direct portal homepages plus search-result URLs where the portal exposes a public search endpoint.</t>
        </is>
      </c>
    </row>
    <row r="115">
      <c r="A115" s="2" t="n">
        <v>114</v>
      </c>
      <c r="B115" s="9" t="inlineStr">
        <is>
          <t>Later_witness_or_post_1AD_relevance</t>
        </is>
      </c>
      <c r="C115" s="2" t="inlineStr">
        <is>
          <t>South Asia</t>
        </is>
      </c>
      <c r="D115" s="2" t="inlineStr">
        <is>
          <t>South Asian traditions</t>
        </is>
      </c>
      <c r="E115" s="2" t="n">
        <v>-300</v>
      </c>
      <c r="F115" s="2" t="n">
        <v>300</v>
      </c>
      <c r="G115" s="2" t="inlineStr">
        <is>
          <t>c. 300 BCE to 300 CE</t>
        </is>
      </c>
      <c r="H115" s="2" t="inlineStr">
        <is>
          <t>Ramayana (early strata)</t>
        </is>
      </c>
      <c r="I115" s="2" t="inlineStr">
        <is>
          <t>Text tradition</t>
        </is>
      </c>
      <c r="J115" s="2" t="inlineStr">
        <is>
          <t>Later manuscript witness to older oral epic</t>
        </is>
      </c>
      <c r="K115" s="2" t="inlineStr">
        <is>
          <t>Epic</t>
        </is>
      </c>
      <c r="L115" s="2" t="inlineStr">
        <is>
          <t>Sacred kingship</t>
        </is>
      </c>
      <c r="M115" s="2" t="inlineStr">
        <is>
          <t>India</t>
        </is>
      </c>
      <c r="N115" s="2" t="inlineStr">
        <is>
          <t>North India and South Asian imagination</t>
        </is>
      </c>
      <c r="O115" s="2" t="inlineStr">
        <is>
          <t>Epic of Rama, exile, war, and return with long redaction history.</t>
        </is>
      </c>
      <c r="P115" s="2" t="inlineStr">
        <is>
          <t>Useful for sacred geography and epic statecraft.</t>
        </is>
      </c>
      <c r="Q115" s="2" t="inlineStr">
        <is>
          <t>High</t>
        </is>
      </c>
      <c r="R115" s="2" t="inlineStr">
        <is>
          <t>High</t>
        </is>
      </c>
      <c r="S115" s="2" t="inlineStr">
        <is>
          <t>Low</t>
        </is>
      </c>
      <c r="T115" s="2" t="inlineStr">
        <is>
          <t>GRETIL</t>
        </is>
      </c>
      <c r="U115" s="8" t="inlineStr">
        <is>
          <t>https://gretil.sub.uni-goettingen.de/gretil.html</t>
        </is>
      </c>
      <c r="V115" s="2" t="inlineStr">
        <is>
          <t>Wisdom Library</t>
        </is>
      </c>
      <c r="W115" s="8" t="inlineStr">
        <is>
          <t>https://www.wisdomlib.org/</t>
        </is>
      </c>
      <c r="X115" s="2" t="inlineStr">
        <is>
          <t>British Museum Collection</t>
        </is>
      </c>
      <c r="Y115" s="8" t="inlineStr">
        <is>
          <t>https://www.britishmuseum.org/collection</t>
        </is>
      </c>
      <c r="Z115" s="2" t="inlineStr">
        <is>
          <t>UNESCO</t>
        </is>
      </c>
      <c r="AA115" s="8" t="inlineStr">
        <is>
          <t>https://whc.unesco.org/</t>
        </is>
      </c>
      <c r="AB115" s="2" t="inlineStr">
        <is>
          <t>UNESCO</t>
        </is>
      </c>
      <c r="AC115" s="8" t="inlineStr">
        <is>
          <t>https://whc.unesco.org/</t>
        </is>
      </c>
      <c r="AD115" s="2" t="inlineStr">
        <is>
          <t>Ramayana translation</t>
        </is>
      </c>
      <c r="AE115" s="2" t="inlineStr">
        <is>
          <t>Track textual recensions.</t>
        </is>
      </c>
      <c r="AF115" s="2" t="inlineStr">
        <is>
          <t>Exile; bridge; righteous king</t>
        </is>
      </c>
      <c r="AG115" s="2" t="inlineStr">
        <is>
          <t>High</t>
        </is>
      </c>
      <c r="AH115" s="2" t="inlineStr">
        <is>
          <t>High</t>
        </is>
      </c>
      <c r="AI115" s="2" t="inlineStr"/>
      <c r="AJ115" t="inlineStr">
        <is>
          <t>https://gretil.sub.uni-goettingen.de/gretil.html</t>
        </is>
      </c>
      <c r="AK115" t="inlineStr">
        <is>
          <t>https://www.wisdomlib.org/</t>
        </is>
      </c>
      <c r="AL115" t="inlineStr">
        <is>
          <t>https://www.britishmuseum.org/collection/search?keyword=Ramayana+translation</t>
        </is>
      </c>
      <c r="AM115" t="inlineStr">
        <is>
          <t>https://whc.unesco.org/en/search/?searchterm=Ramayana+translation</t>
        </is>
      </c>
      <c r="AN115" t="inlineStr">
        <is>
          <t>https://whc.unesco.org/en/search/?searchterm=Ramayana+translation</t>
        </is>
      </c>
      <c r="AO115" t="inlineStr">
        <is>
          <t>1) Fact base: GRETIL. 2) Translation/text: Wisdom Library. 3) Images/objects: British Museum Collection. 4) Context/explanation: UNESCO. 5) Geography/maps: UNESCO. Use Suggested_Search_Term inside each portal.</t>
        </is>
      </c>
      <c r="AP115" t="inlineStr">
        <is>
          <t>Mixed: direct portal homepages plus search-result URLs where the portal exposes a public search endpoint.</t>
        </is>
      </c>
    </row>
    <row r="116">
      <c r="A116" s="2" t="n">
        <v>115</v>
      </c>
      <c r="B116" s="9" t="inlineStr">
        <is>
          <t>Later_witness_or_post_1AD_relevance</t>
        </is>
      </c>
      <c r="C116" s="2" t="inlineStr">
        <is>
          <t>South Asia</t>
        </is>
      </c>
      <c r="D116" s="2" t="inlineStr">
        <is>
          <t>South Asian traditions</t>
        </is>
      </c>
      <c r="E116" s="2" t="n">
        <v>-300</v>
      </c>
      <c r="F116" s="2" t="n">
        <v>400</v>
      </c>
      <c r="G116" s="2" t="inlineStr">
        <is>
          <t>c. 300 BCE to 400 CE</t>
        </is>
      </c>
      <c r="H116" s="2" t="inlineStr">
        <is>
          <t>Puranic creation and flood materials</t>
        </is>
      </c>
      <c r="I116" s="2" t="inlineStr">
        <is>
          <t>Text tradition</t>
        </is>
      </c>
      <c r="J116" s="2" t="inlineStr">
        <is>
          <t>Later manuscript witness to older traditions</t>
        </is>
      </c>
      <c r="K116" s="2" t="inlineStr">
        <is>
          <t>Creation</t>
        </is>
      </c>
      <c r="L116" s="2" t="inlineStr">
        <is>
          <t>Flood</t>
        </is>
      </c>
      <c r="M116" s="2" t="inlineStr">
        <is>
          <t>India</t>
        </is>
      </c>
      <c r="N116" s="2" t="inlineStr">
        <is>
          <t>Pan-Indic tradition</t>
        </is>
      </c>
      <c r="O116" s="2" t="inlineStr">
        <is>
          <t>Later Sanskrit compendia preserving cosmological, genealogical, and mythic cycles.</t>
        </is>
      </c>
      <c r="P116" s="2" t="inlineStr">
        <is>
          <t>Important source for later-form Hindu universal history and flood motifs.</t>
        </is>
      </c>
      <c r="Q116" s="2" t="inlineStr">
        <is>
          <t>High</t>
        </is>
      </c>
      <c r="R116" s="2" t="inlineStr">
        <is>
          <t>High</t>
        </is>
      </c>
      <c r="S116" s="2" t="inlineStr">
        <is>
          <t>Low</t>
        </is>
      </c>
      <c r="T116" s="2" t="inlineStr">
        <is>
          <t>GRETIL</t>
        </is>
      </c>
      <c r="U116" s="8" t="inlineStr">
        <is>
          <t>https://gretil.sub.uni-goettingen.de/gretil.html</t>
        </is>
      </c>
      <c r="V116" s="2" t="inlineStr">
        <is>
          <t>Wisdom Library</t>
        </is>
      </c>
      <c r="W116" s="8" t="inlineStr">
        <is>
          <t>https://www.wisdomlib.org/</t>
        </is>
      </c>
      <c r="X116" s="2" t="inlineStr">
        <is>
          <t>British Museum Collection</t>
        </is>
      </c>
      <c r="Y116" s="8" t="inlineStr">
        <is>
          <t>https://www.britishmuseum.org/collection</t>
        </is>
      </c>
      <c r="Z116" s="2" t="inlineStr">
        <is>
          <t>UNESCO</t>
        </is>
      </c>
      <c r="AA116" s="8" t="inlineStr">
        <is>
          <t>https://whc.unesco.org/</t>
        </is>
      </c>
      <c r="AB116" s="2" t="inlineStr">
        <is>
          <t>UNESCO</t>
        </is>
      </c>
      <c r="AC116" s="8" t="inlineStr">
        <is>
          <t>https://whc.unesco.org/</t>
        </is>
      </c>
      <c r="AD116" s="2" t="inlineStr">
        <is>
          <t>Puranas translation</t>
        </is>
      </c>
      <c r="AE116" s="2" t="inlineStr">
        <is>
          <t>Mostly later than BCE; use as later witnesses.</t>
        </is>
      </c>
      <c r="AF116" s="2" t="inlineStr">
        <is>
          <t>Cosmic cycles; Manu; genealogy</t>
        </is>
      </c>
      <c r="AG116" s="2" t="inlineStr">
        <is>
          <t>High</t>
        </is>
      </c>
      <c r="AH116" s="2" t="inlineStr">
        <is>
          <t>High</t>
        </is>
      </c>
      <c r="AI116" s="2" t="inlineStr"/>
      <c r="AJ116" t="inlineStr">
        <is>
          <t>https://gretil.sub.uni-goettingen.de/gretil.html</t>
        </is>
      </c>
      <c r="AK116" t="inlineStr">
        <is>
          <t>https://www.wisdomlib.org/</t>
        </is>
      </c>
      <c r="AL116" t="inlineStr">
        <is>
          <t>https://www.britishmuseum.org/collection/search?keyword=Puranas+translation</t>
        </is>
      </c>
      <c r="AM116" t="inlineStr">
        <is>
          <t>https://whc.unesco.org/en/search/?searchterm=Puranas+translation</t>
        </is>
      </c>
      <c r="AN116" t="inlineStr">
        <is>
          <t>https://whc.unesco.org/en/search/?searchterm=Puranas+translation</t>
        </is>
      </c>
      <c r="AO116" t="inlineStr">
        <is>
          <t>1) Fact base: GRETIL. 2) Translation/text: Wisdom Library. 3) Images/objects: British Museum Collection. 4) Context/explanation: UNESCO. 5) Geography/maps: UNESCO. Use Suggested_Search_Term inside each portal.</t>
        </is>
      </c>
      <c r="AP116" t="inlineStr">
        <is>
          <t>Mixed: direct portal homepages plus search-result URLs where the portal exposes a public search endpoint.</t>
        </is>
      </c>
    </row>
    <row r="117">
      <c r="A117" s="2" t="n">
        <v>116</v>
      </c>
      <c r="B117" s="7" t="inlineStr">
        <is>
          <t>BCE_to_1AD</t>
        </is>
      </c>
      <c r="C117" s="2" t="inlineStr">
        <is>
          <t>South Asia</t>
        </is>
      </c>
      <c r="D117" s="2" t="inlineStr">
        <is>
          <t>South Asian traditions</t>
        </is>
      </c>
      <c r="E117" s="2" t="n">
        <v>-250</v>
      </c>
      <c r="F117" s="2" t="n">
        <v>-232</v>
      </c>
      <c r="G117" s="2" t="inlineStr">
        <is>
          <t>c. 250 BCE to 232 BCE</t>
        </is>
      </c>
      <c r="H117" s="2" t="inlineStr">
        <is>
          <t>Ashokan Edicts</t>
        </is>
      </c>
      <c r="I117" s="2" t="inlineStr">
        <is>
          <t>Inscription corpus</t>
        </is>
      </c>
      <c r="J117" s="2" t="inlineStr">
        <is>
          <t>Rock/pillar inscriptions</t>
        </is>
      </c>
      <c r="K117" s="2" t="inlineStr">
        <is>
          <t>Ethics</t>
        </is>
      </c>
      <c r="L117" s="2" t="inlineStr">
        <is>
          <t>Empire</t>
        </is>
      </c>
      <c r="M117" s="2" t="inlineStr">
        <is>
          <t>India/Nepal/Pakistan/Afghanistan</t>
        </is>
      </c>
      <c r="N117" s="2" t="inlineStr">
        <is>
          <t>Mauryan Empire</t>
        </is>
      </c>
      <c r="O117" s="2" t="inlineStr">
        <is>
          <t>Royal inscriptions broadcasting dhamma across the Mauryan realm.</t>
        </is>
      </c>
      <c r="P117" s="2" t="inlineStr">
        <is>
          <t>Excellent historical control texts tying ideology to place.</t>
        </is>
      </c>
      <c r="Q117" s="2" t="inlineStr">
        <is>
          <t>Medium</t>
        </is>
      </c>
      <c r="R117" s="2" t="inlineStr">
        <is>
          <t>High</t>
        </is>
      </c>
      <c r="S117" s="2" t="inlineStr">
        <is>
          <t>High</t>
        </is>
      </c>
      <c r="T117" s="2" t="inlineStr">
        <is>
          <t>GRETIL</t>
        </is>
      </c>
      <c r="U117" s="8" t="inlineStr">
        <is>
          <t>https://gretil.sub.uni-goettingen.de/gretil.html</t>
        </is>
      </c>
      <c r="V117" s="2" t="inlineStr">
        <is>
          <t>ASI</t>
        </is>
      </c>
      <c r="W117" s="8" t="inlineStr">
        <is>
          <t>https://asi.nic.in/</t>
        </is>
      </c>
      <c r="X117" s="2" t="inlineStr">
        <is>
          <t>British Museum Collection</t>
        </is>
      </c>
      <c r="Y117" s="8" t="inlineStr">
        <is>
          <t>https://www.britishmuseum.org/collection</t>
        </is>
      </c>
      <c r="Z117" s="2" t="inlineStr">
        <is>
          <t>UNESCO</t>
        </is>
      </c>
      <c r="AA117" s="8" t="inlineStr">
        <is>
          <t>https://whc.unesco.org/</t>
        </is>
      </c>
      <c r="AB117" s="2" t="inlineStr">
        <is>
          <t>UNESCO</t>
        </is>
      </c>
      <c r="AC117" s="8" t="inlineStr">
        <is>
          <t>https://whc.unesco.org/</t>
        </is>
      </c>
      <c r="AD117" s="2" t="inlineStr">
        <is>
          <t>Ashoka edicts</t>
        </is>
      </c>
      <c r="AE117" s="2" t="inlineStr">
        <is>
          <t>Use inscription location and language version.</t>
        </is>
      </c>
      <c r="AF117" s="2" t="inlineStr">
        <is>
          <t>Empire; ethics; kingship</t>
        </is>
      </c>
      <c r="AG117" s="2" t="inlineStr">
        <is>
          <t>High</t>
        </is>
      </c>
      <c r="AH117" s="2" t="inlineStr">
        <is>
          <t>Medium</t>
        </is>
      </c>
      <c r="AI117" s="2" t="inlineStr"/>
      <c r="AJ117" t="inlineStr">
        <is>
          <t>https://gretil.sub.uni-goettingen.de/gretil.html</t>
        </is>
      </c>
      <c r="AK117" t="inlineStr">
        <is>
          <t>https://asi.nic.in/</t>
        </is>
      </c>
      <c r="AL117" t="inlineStr">
        <is>
          <t>https://www.britishmuseum.org/collection/search?keyword=Ashoka+edicts</t>
        </is>
      </c>
      <c r="AM117" t="inlineStr">
        <is>
          <t>https://whc.unesco.org/en/search/?searchterm=Ashoka+edicts</t>
        </is>
      </c>
      <c r="AN117" t="inlineStr">
        <is>
          <t>https://whc.unesco.org/en/search/?searchterm=Ashoka+edicts</t>
        </is>
      </c>
      <c r="AO117" t="inlineStr">
        <is>
          <t>1) Fact base: GRETIL. 2) Translation/text: ASI. 3) Images/objects: British Museum Collection. 4) Context/explanation: UNESCO. 5) Geography/maps: UNESCO. Use Suggested_Search_Term inside each portal.</t>
        </is>
      </c>
      <c r="AP117" t="inlineStr">
        <is>
          <t>Mixed: direct portal homepages plus search-result URLs where the portal exposes a public search endpoint.</t>
        </is>
      </c>
    </row>
    <row r="118">
      <c r="A118" s="2" t="n">
        <v>117</v>
      </c>
      <c r="B118" s="9" t="inlineStr">
        <is>
          <t>Later_witness_or_post_1AD_relevance</t>
        </is>
      </c>
      <c r="C118" s="2" t="inlineStr">
        <is>
          <t>South Asia</t>
        </is>
      </c>
      <c r="D118" s="2" t="inlineStr">
        <is>
          <t>South Asian traditions</t>
        </is>
      </c>
      <c r="E118" s="2" t="n">
        <v>-300</v>
      </c>
      <c r="F118" s="2" t="n">
        <v>100</v>
      </c>
      <c r="G118" s="2" t="inlineStr">
        <is>
          <t>c. 300 BCE to 100 CE</t>
        </is>
      </c>
      <c r="H118" s="2" t="inlineStr">
        <is>
          <t>Sanchi (early phases)</t>
        </is>
      </c>
      <c r="I118" s="2" t="inlineStr">
        <is>
          <t>Site</t>
        </is>
      </c>
      <c r="J118" s="2" t="inlineStr">
        <is>
          <t>Archaeology</t>
        </is>
      </c>
      <c r="K118" s="2" t="inlineStr">
        <is>
          <t>Buddhism</t>
        </is>
      </c>
      <c r="L118" s="2" t="inlineStr">
        <is>
          <t>Monuments</t>
        </is>
      </c>
      <c r="M118" s="2" t="inlineStr">
        <is>
          <t>India</t>
        </is>
      </c>
      <c r="N118" s="2" t="inlineStr">
        <is>
          <t>Madhya Pradesh</t>
        </is>
      </c>
      <c r="O118" s="2" t="inlineStr">
        <is>
          <t>Stupa and monastic site with early Buddhist architectural development.</t>
        </is>
      </c>
      <c r="P118" s="2" t="inlineStr">
        <is>
          <t>Good object-rich case for early Buddhism in material form.</t>
        </is>
      </c>
      <c r="Q118" s="2" t="inlineStr">
        <is>
          <t>Low</t>
        </is>
      </c>
      <c r="R118" s="2" t="inlineStr">
        <is>
          <t>Not applicable</t>
        </is>
      </c>
      <c r="S118" s="2" t="inlineStr">
        <is>
          <t>High</t>
        </is>
      </c>
      <c r="T118" s="2" t="inlineStr">
        <is>
          <t>ASI</t>
        </is>
      </c>
      <c r="U118" s="8" t="inlineStr">
        <is>
          <t>https://asi.nic.in/</t>
        </is>
      </c>
      <c r="V118" s="2" t="inlineStr">
        <is>
          <t>ASI</t>
        </is>
      </c>
      <c r="W118" s="8" t="inlineStr">
        <is>
          <t>https://asi.nic.in/</t>
        </is>
      </c>
      <c r="X118" s="2" t="inlineStr">
        <is>
          <t>British Museum Collection</t>
        </is>
      </c>
      <c r="Y118" s="8" t="inlineStr">
        <is>
          <t>https://www.britishmuseum.org/collection</t>
        </is>
      </c>
      <c r="Z118" s="2" t="inlineStr">
        <is>
          <t>UNESCO</t>
        </is>
      </c>
      <c r="AA118" s="8" t="inlineStr">
        <is>
          <t>https://whc.unesco.org/</t>
        </is>
      </c>
      <c r="AB118" s="2" t="inlineStr">
        <is>
          <t>UNESCO</t>
        </is>
      </c>
      <c r="AC118" s="8" t="inlineStr">
        <is>
          <t>https://whc.unesco.org/</t>
        </is>
      </c>
      <c r="AD118" s="2" t="inlineStr">
        <is>
          <t>Sanchi UNESCO</t>
        </is>
      </c>
      <c r="AE118" s="2" t="inlineStr">
        <is>
          <t>Gateways are later than the earliest mound.</t>
        </is>
      </c>
      <c r="AF118" s="2" t="inlineStr">
        <is>
          <t>Relics; pilgrimage; Buddhist symbols</t>
        </is>
      </c>
      <c r="AG118" s="2" t="inlineStr">
        <is>
          <t>Medium</t>
        </is>
      </c>
      <c r="AH118" s="2" t="inlineStr">
        <is>
          <t>Medium</t>
        </is>
      </c>
      <c r="AI118" s="2" t="inlineStr"/>
      <c r="AJ118" t="inlineStr">
        <is>
          <t>https://asi.nic.in/</t>
        </is>
      </c>
      <c r="AK118" t="inlineStr">
        <is>
          <t>https://asi.nic.in/</t>
        </is>
      </c>
      <c r="AL118" t="inlineStr">
        <is>
          <t>https://www.britishmuseum.org/collection/search?keyword=Sanchi+UNESCO</t>
        </is>
      </c>
      <c r="AM118" t="inlineStr">
        <is>
          <t>https://whc.unesco.org/en/search/?searchterm=Sanchi+UNESCO</t>
        </is>
      </c>
      <c r="AN118" t="inlineStr">
        <is>
          <t>https://whc.unesco.org/en/search/?searchterm=Sanchi+UNESCO</t>
        </is>
      </c>
      <c r="AO118" t="inlineStr">
        <is>
          <t>1) Fact base: ASI. 2) Translation/text: ASI. 3) Images/objects: British Museum Collection. 4) Context/explanation: UNESCO. 5) Geography/maps: UNESCO. Use Suggested_Search_Term inside each portal.</t>
        </is>
      </c>
      <c r="AP118" t="inlineStr">
        <is>
          <t>Mixed: direct portal homepages plus search-result URLs where the portal exposes a public search endpoint.</t>
        </is>
      </c>
    </row>
    <row r="119">
      <c r="A119" s="2" t="n">
        <v>118</v>
      </c>
      <c r="B119" s="7" t="inlineStr">
        <is>
          <t>BCE_to_1AD</t>
        </is>
      </c>
      <c r="C119" s="2" t="inlineStr">
        <is>
          <t>South Asia</t>
        </is>
      </c>
      <c r="D119" s="2" t="inlineStr">
        <is>
          <t>South Asian traditions</t>
        </is>
      </c>
      <c r="E119" s="2" t="n">
        <v>-250</v>
      </c>
      <c r="F119" s="2" t="n">
        <v>-100</v>
      </c>
      <c r="G119" s="2" t="inlineStr">
        <is>
          <t>c. 250 BCE to 100 BCE</t>
        </is>
      </c>
      <c r="H119" s="2" t="inlineStr">
        <is>
          <t>Bharhut</t>
        </is>
      </c>
      <c r="I119" s="2" t="inlineStr">
        <is>
          <t>Site / artifact corpus</t>
        </is>
      </c>
      <c r="J119" s="2" t="inlineStr">
        <is>
          <t>Railings and reliefs</t>
        </is>
      </c>
      <c r="K119" s="2" t="inlineStr">
        <is>
          <t>Buddhism</t>
        </is>
      </c>
      <c r="L119" s="2" t="inlineStr">
        <is>
          <t>Narrative art</t>
        </is>
      </c>
      <c r="M119" s="2" t="inlineStr">
        <is>
          <t>India</t>
        </is>
      </c>
      <c r="N119" s="2" t="inlineStr">
        <is>
          <t>Madhya Pradesh</t>
        </is>
      </c>
      <c r="O119" s="2" t="inlineStr">
        <is>
          <t>Stupa-site fragments preserving some of the earliest narrative Buddhist reliefs.</t>
        </is>
      </c>
      <c r="P119" s="2" t="inlineStr">
        <is>
          <t>Important for visual storytelling and symbolism before anthropomorphic Buddha images dominate.</t>
        </is>
      </c>
      <c r="Q119" s="2" t="inlineStr">
        <is>
          <t>Low</t>
        </is>
      </c>
      <c r="R119" s="2" t="inlineStr">
        <is>
          <t>Not applicable</t>
        </is>
      </c>
      <c r="S119" s="2" t="inlineStr">
        <is>
          <t>High</t>
        </is>
      </c>
      <c r="T119" s="2" t="inlineStr">
        <is>
          <t>GRETIL</t>
        </is>
      </c>
      <c r="U119" s="8" t="inlineStr">
        <is>
          <t>https://gretil.sub.uni-goettingen.de/gretil.html</t>
        </is>
      </c>
      <c r="V119" s="2" t="inlineStr">
        <is>
          <t>ASI</t>
        </is>
      </c>
      <c r="W119" s="8" t="inlineStr">
        <is>
          <t>https://asi.nic.in/</t>
        </is>
      </c>
      <c r="X119" s="2" t="inlineStr">
        <is>
          <t>British Museum Collection</t>
        </is>
      </c>
      <c r="Y119" s="8" t="inlineStr">
        <is>
          <t>https://www.britishmuseum.org/collection</t>
        </is>
      </c>
      <c r="Z119" s="2" t="inlineStr">
        <is>
          <t>UNESCO</t>
        </is>
      </c>
      <c r="AA119" s="8" t="inlineStr">
        <is>
          <t>https://whc.unesco.org/</t>
        </is>
      </c>
      <c r="AB119" s="2" t="inlineStr">
        <is>
          <t>UNESCO</t>
        </is>
      </c>
      <c r="AC119" s="8" t="inlineStr">
        <is>
          <t>https://whc.unesco.org/</t>
        </is>
      </c>
      <c r="AD119" s="2" t="inlineStr">
        <is>
          <t>Bharhut reliefs</t>
        </is>
      </c>
      <c r="AE119" s="2" t="inlineStr">
        <is>
          <t>Fragments dispersed across museums.</t>
        </is>
      </c>
      <c r="AF119" s="2" t="inlineStr">
        <is>
          <t>Jataka scenes; symbolism</t>
        </is>
      </c>
      <c r="AG119" s="2" t="inlineStr">
        <is>
          <t>Medium</t>
        </is>
      </c>
      <c r="AH119" s="2" t="inlineStr">
        <is>
          <t>Medium</t>
        </is>
      </c>
      <c r="AI119" s="2" t="inlineStr"/>
      <c r="AJ119" t="inlineStr">
        <is>
          <t>https://gretil.sub.uni-goettingen.de/gretil.html</t>
        </is>
      </c>
      <c r="AK119" t="inlineStr">
        <is>
          <t>https://asi.nic.in/</t>
        </is>
      </c>
      <c r="AL119" t="inlineStr">
        <is>
          <t>https://www.britishmuseum.org/collection/search?keyword=Bharhut+reliefs</t>
        </is>
      </c>
      <c r="AM119" t="inlineStr">
        <is>
          <t>https://whc.unesco.org/en/search/?searchterm=Bharhut+reliefs</t>
        </is>
      </c>
      <c r="AN119" t="inlineStr">
        <is>
          <t>https://whc.unesco.org/en/search/?searchterm=Bharhut+reliefs</t>
        </is>
      </c>
      <c r="AO119" t="inlineStr">
        <is>
          <t>1) Fact base: GRETIL. 2) Translation/text: ASI. 3) Images/objects: British Museum Collection. 4) Context/explanation: UNESCO. 5) Geography/maps: UNESCO. Use Suggested_Search_Term inside each portal.</t>
        </is>
      </c>
      <c r="AP119" t="inlineStr">
        <is>
          <t>Mixed: direct portal homepages plus search-result URLs where the portal exposes a public search endpoint.</t>
        </is>
      </c>
    </row>
    <row r="120">
      <c r="A120" s="2" t="n">
        <v>119</v>
      </c>
      <c r="B120" s="9" t="inlineStr">
        <is>
          <t>Later_witness_or_post_1AD_relevance</t>
        </is>
      </c>
      <c r="C120" s="2" t="inlineStr">
        <is>
          <t>South Asia</t>
        </is>
      </c>
      <c r="D120" s="2" t="inlineStr">
        <is>
          <t>South Asian traditions</t>
        </is>
      </c>
      <c r="E120" s="2" t="n">
        <v>-300</v>
      </c>
      <c r="F120" s="2" t="n">
        <v>100</v>
      </c>
      <c r="G120" s="2" t="inlineStr">
        <is>
          <t>c. 300 BCE to 100 CE</t>
        </is>
      </c>
      <c r="H120" s="2" t="inlineStr">
        <is>
          <t>Early Buddhist Nikaya / Agama materials</t>
        </is>
      </c>
      <c r="I120" s="2" t="inlineStr">
        <is>
          <t>Text tradition</t>
        </is>
      </c>
      <c r="J120" s="2" t="inlineStr">
        <is>
          <t>Oral-to-written tradition</t>
        </is>
      </c>
      <c r="K120" s="2" t="inlineStr">
        <is>
          <t>Ethics</t>
        </is>
      </c>
      <c r="L120" s="2" t="inlineStr">
        <is>
          <t>Cosmology</t>
        </is>
      </c>
      <c r="M120" s="2" t="inlineStr">
        <is>
          <t>India/Sri Lanka</t>
        </is>
      </c>
      <c r="N120" s="2" t="inlineStr">
        <is>
          <t>Early Buddhist tradition</t>
        </is>
      </c>
      <c r="O120" s="2" t="inlineStr">
        <is>
          <t>Early strata of Buddhist discourses preserved later in Pali and Chinese collections.</t>
        </is>
      </c>
      <c r="P120" s="2" t="inlineStr">
        <is>
          <t>Core for pre-1st millennium Buddhist cosmology and practice.</t>
        </is>
      </c>
      <c r="Q120" s="2" t="inlineStr">
        <is>
          <t>Medium</t>
        </is>
      </c>
      <c r="R120" s="2" t="inlineStr">
        <is>
          <t>High</t>
        </is>
      </c>
      <c r="S120" s="2" t="inlineStr">
        <is>
          <t>Low</t>
        </is>
      </c>
      <c r="T120" s="2" t="inlineStr">
        <is>
          <t>SuttaCentral</t>
        </is>
      </c>
      <c r="U120" s="8" t="inlineStr">
        <is>
          <t>https://suttacentral.net/</t>
        </is>
      </c>
      <c r="V120" s="2" t="inlineStr">
        <is>
          <t>Wisdom Library</t>
        </is>
      </c>
      <c r="W120" s="8" t="inlineStr">
        <is>
          <t>https://www.wisdomlib.org/</t>
        </is>
      </c>
      <c r="X120" s="2" t="inlineStr">
        <is>
          <t>British Museum Collection</t>
        </is>
      </c>
      <c r="Y120" s="8" t="inlineStr">
        <is>
          <t>https://www.britishmuseum.org/collection</t>
        </is>
      </c>
      <c r="Z120" s="2" t="inlineStr">
        <is>
          <t>UNESCO</t>
        </is>
      </c>
      <c r="AA120" s="8" t="inlineStr">
        <is>
          <t>https://whc.unesco.org/</t>
        </is>
      </c>
      <c r="AB120" s="2" t="inlineStr">
        <is>
          <t>UNESCO</t>
        </is>
      </c>
      <c r="AC120" s="8" t="inlineStr">
        <is>
          <t>https://whc.unesco.org/</t>
        </is>
      </c>
      <c r="AD120" s="2" t="inlineStr">
        <is>
          <t>SuttaCentral early discourses</t>
        </is>
      </c>
      <c r="AE120" s="2" t="inlineStr">
        <is>
          <t>Use parallels to identify early strata.</t>
        </is>
      </c>
      <c r="AF120" s="2" t="inlineStr">
        <is>
          <t>Renunciation; cosmology; rebirth</t>
        </is>
      </c>
      <c r="AG120" s="2" t="inlineStr">
        <is>
          <t>High</t>
        </is>
      </c>
      <c r="AH120" s="2" t="inlineStr">
        <is>
          <t>Medium</t>
        </is>
      </c>
      <c r="AI120" s="2" t="inlineStr"/>
      <c r="AJ120" t="inlineStr">
        <is>
          <t>https://suttacentral.net/</t>
        </is>
      </c>
      <c r="AK120" t="inlineStr">
        <is>
          <t>https://www.wisdomlib.org/</t>
        </is>
      </c>
      <c r="AL120" t="inlineStr">
        <is>
          <t>https://www.britishmuseum.org/collection/search?keyword=SuttaCentral+early+discourses</t>
        </is>
      </c>
      <c r="AM120" t="inlineStr">
        <is>
          <t>https://whc.unesco.org/en/search/?searchterm=SuttaCentral+early+discourses</t>
        </is>
      </c>
      <c r="AN120" t="inlineStr">
        <is>
          <t>https://whc.unesco.org/en/search/?searchterm=SuttaCentral+early+discourses</t>
        </is>
      </c>
      <c r="AO120" t="inlineStr">
        <is>
          <t>1) Fact base: SuttaCentral. 2) Translation/text: Wisdom Library. 3) Images/objects: British Museum Collection. 4) Context/explanation: UNESCO. 5) Geography/maps: UNESCO. Use Suggested_Search_Term inside each portal.</t>
        </is>
      </c>
      <c r="AP120" t="inlineStr">
        <is>
          <t>Mixed: direct portal homepages plus search-result URLs where the portal exposes a public search endpoint.</t>
        </is>
      </c>
    </row>
    <row r="121">
      <c r="A121" s="2" t="n">
        <v>120</v>
      </c>
      <c r="B121" s="9" t="inlineStr">
        <is>
          <t>Later_witness_or_post_1AD_relevance</t>
        </is>
      </c>
      <c r="C121" s="2" t="inlineStr">
        <is>
          <t>South Asia</t>
        </is>
      </c>
      <c r="D121" s="2" t="inlineStr">
        <is>
          <t>South Asian traditions</t>
        </is>
      </c>
      <c r="E121" s="2" t="n">
        <v>-300</v>
      </c>
      <c r="F121" s="2" t="n">
        <v>100</v>
      </c>
      <c r="G121" s="2" t="inlineStr">
        <is>
          <t>c. 300 BCE to 100 CE</t>
        </is>
      </c>
      <c r="H121" s="2" t="inlineStr">
        <is>
          <t>Jain Agama traditions</t>
        </is>
      </c>
      <c r="I121" s="2" t="inlineStr">
        <is>
          <t>Text tradition</t>
        </is>
      </c>
      <c r="J121" s="2" t="inlineStr">
        <is>
          <t>Oral-to-written tradition</t>
        </is>
      </c>
      <c r="K121" s="2" t="inlineStr">
        <is>
          <t>Asceticism</t>
        </is>
      </c>
      <c r="L121" s="2" t="inlineStr">
        <is>
          <t>Cosmology</t>
        </is>
      </c>
      <c r="M121" s="2" t="inlineStr">
        <is>
          <t>India</t>
        </is>
      </c>
      <c r="N121" s="2" t="inlineStr">
        <is>
          <t>Early Jain communities</t>
        </is>
      </c>
      <c r="O121" s="2" t="inlineStr">
        <is>
          <t>Canonical Jain traditions preserving teachings, rules, and cosmological material.</t>
        </is>
      </c>
      <c r="P121" s="2" t="inlineStr">
        <is>
          <t>Adds a non-Vedic, non-Buddhist South Asian worldview to the map.</t>
        </is>
      </c>
      <c r="Q121" s="2" t="inlineStr">
        <is>
          <t>Low</t>
        </is>
      </c>
      <c r="R121" s="2" t="inlineStr">
        <is>
          <t>Partial</t>
        </is>
      </c>
      <c r="S121" s="2" t="inlineStr">
        <is>
          <t>Low</t>
        </is>
      </c>
      <c r="T121" s="2" t="inlineStr">
        <is>
          <t>GRETIL</t>
        </is>
      </c>
      <c r="U121" s="8" t="inlineStr">
        <is>
          <t>https://gretil.sub.uni-goettingen.de/gretil.html</t>
        </is>
      </c>
      <c r="V121" s="2" t="inlineStr">
        <is>
          <t>Wisdom Library</t>
        </is>
      </c>
      <c r="W121" s="8" t="inlineStr">
        <is>
          <t>https://www.wisdomlib.org/</t>
        </is>
      </c>
      <c r="X121" s="2" t="inlineStr">
        <is>
          <t>British Museum Collection</t>
        </is>
      </c>
      <c r="Y121" s="8" t="inlineStr">
        <is>
          <t>https://www.britishmuseum.org/collection</t>
        </is>
      </c>
      <c r="Z121" s="2" t="inlineStr">
        <is>
          <t>UNESCO</t>
        </is>
      </c>
      <c r="AA121" s="8" t="inlineStr">
        <is>
          <t>https://whc.unesco.org/</t>
        </is>
      </c>
      <c r="AB121" s="2" t="inlineStr">
        <is>
          <t>UNESCO</t>
        </is>
      </c>
      <c r="AC121" s="8" t="inlineStr">
        <is>
          <t>https://whc.unesco.org/</t>
        </is>
      </c>
      <c r="AD121" s="2" t="inlineStr">
        <is>
          <t>Jain Agamas translation</t>
        </is>
      </c>
      <c r="AE121" s="2" t="inlineStr">
        <is>
          <t>Textual witnesses are later; tradition is earlier.</t>
        </is>
      </c>
      <c r="AF121" s="2" t="inlineStr">
        <is>
          <t>Asceticism; cyclical time</t>
        </is>
      </c>
      <c r="AG121" s="2" t="inlineStr">
        <is>
          <t>Medium</t>
        </is>
      </c>
      <c r="AH121" s="2" t="inlineStr">
        <is>
          <t>Low</t>
        </is>
      </c>
      <c r="AI121" s="2" t="inlineStr"/>
      <c r="AJ121" t="inlineStr">
        <is>
          <t>https://gretil.sub.uni-goettingen.de/gretil.html</t>
        </is>
      </c>
      <c r="AK121" t="inlineStr">
        <is>
          <t>https://www.wisdomlib.org/</t>
        </is>
      </c>
      <c r="AL121" t="inlineStr">
        <is>
          <t>https://www.britishmuseum.org/collection/search?keyword=Jain+Agamas+translation</t>
        </is>
      </c>
      <c r="AM121" t="inlineStr">
        <is>
          <t>https://whc.unesco.org/en/search/?searchterm=Jain+Agamas+translation</t>
        </is>
      </c>
      <c r="AN121" t="inlineStr">
        <is>
          <t>https://whc.unesco.org/en/search/?searchterm=Jain+Agamas+translation</t>
        </is>
      </c>
      <c r="AO121" t="inlineStr">
        <is>
          <t>1) Fact base: GRETIL. 2) Translation/text: Wisdom Library. 3) Images/objects: British Museum Collection. 4) Context/explanation: UNESCO. 5) Geography/maps: UNESCO. Use Suggested_Search_Term inside each portal.</t>
        </is>
      </c>
      <c r="AP121" t="inlineStr">
        <is>
          <t>Mixed: direct portal homepages plus search-result URLs where the portal exposes a public search endpoint.</t>
        </is>
      </c>
    </row>
    <row r="122">
      <c r="A122" s="2" t="n">
        <v>121</v>
      </c>
      <c r="B122" s="7" t="inlineStr">
        <is>
          <t>BCE_to_1AD</t>
        </is>
      </c>
      <c r="C122" s="2" t="inlineStr">
        <is>
          <t>South Asia</t>
        </is>
      </c>
      <c r="D122" s="2" t="inlineStr">
        <is>
          <t>South Asian traditions</t>
        </is>
      </c>
      <c r="E122" s="2" t="n">
        <v>-1500</v>
      </c>
      <c r="F122" s="2" t="n">
        <v>-500</v>
      </c>
      <c r="G122" s="2" t="inlineStr">
        <is>
          <t>c. 1500 BCE to 500 BCE</t>
        </is>
      </c>
      <c r="H122" s="2" t="inlineStr">
        <is>
          <t>Manu flood tradition</t>
        </is>
      </c>
      <c r="I122" s="2" t="inlineStr">
        <is>
          <t>Legend / text cluster</t>
        </is>
      </c>
      <c r="J122" s="2" t="inlineStr">
        <is>
          <t>Distributed textual witness</t>
        </is>
      </c>
      <c r="K122" s="2" t="inlineStr">
        <is>
          <t>Flood</t>
        </is>
      </c>
      <c r="L122" s="2" t="inlineStr">
        <is>
          <t>Culture hero</t>
        </is>
      </c>
      <c r="M122" s="2" t="inlineStr">
        <is>
          <t>India</t>
        </is>
      </c>
      <c r="N122" s="2" t="inlineStr">
        <is>
          <t>Vedic and later Sanskrit tradition</t>
        </is>
      </c>
      <c r="O122" s="2" t="inlineStr">
        <is>
          <t>Flood story centered on Manu, boat, fish, and survival into renewed world order.</t>
        </is>
      </c>
      <c r="P122" s="2" t="inlineStr">
        <is>
          <t>One of the strongest flood parallels outside the Near East.</t>
        </is>
      </c>
      <c r="Q122" s="2" t="inlineStr">
        <is>
          <t>High</t>
        </is>
      </c>
      <c r="R122" s="2" t="inlineStr">
        <is>
          <t>High</t>
        </is>
      </c>
      <c r="S122" s="2" t="inlineStr">
        <is>
          <t>Low</t>
        </is>
      </c>
      <c r="T122" s="2" t="inlineStr">
        <is>
          <t>GRETIL</t>
        </is>
      </c>
      <c r="U122" s="8" t="inlineStr">
        <is>
          <t>https://gretil.sub.uni-goettingen.de/gretil.html</t>
        </is>
      </c>
      <c r="V122" s="2" t="inlineStr">
        <is>
          <t>Wisdom Library</t>
        </is>
      </c>
      <c r="W122" s="8" t="inlineStr">
        <is>
          <t>https://www.wisdomlib.org/</t>
        </is>
      </c>
      <c r="X122" s="2" t="inlineStr">
        <is>
          <t>British Museum Collection</t>
        </is>
      </c>
      <c r="Y122" s="8" t="inlineStr">
        <is>
          <t>https://www.britishmuseum.org/collection</t>
        </is>
      </c>
      <c r="Z122" s="2" t="inlineStr">
        <is>
          <t>UNESCO</t>
        </is>
      </c>
      <c r="AA122" s="8" t="inlineStr">
        <is>
          <t>https://whc.unesco.org/</t>
        </is>
      </c>
      <c r="AB122" s="2" t="inlineStr">
        <is>
          <t>UNESCO</t>
        </is>
      </c>
      <c r="AC122" s="8" t="inlineStr">
        <is>
          <t>https://whc.unesco.org/</t>
        </is>
      </c>
      <c r="AD122" s="2" t="inlineStr">
        <is>
          <t>Manu flood Satapatha</t>
        </is>
      </c>
      <c r="AE122" s="2" t="inlineStr">
        <is>
          <t>Track versions across Brahmana and later texts.</t>
        </is>
      </c>
      <c r="AF122" s="2" t="inlineStr">
        <is>
          <t>Flood hero; post-catastrophe order</t>
        </is>
      </c>
      <c r="AG122" s="2" t="inlineStr">
        <is>
          <t>Critical</t>
        </is>
      </c>
      <c r="AH122" s="2" t="inlineStr">
        <is>
          <t>High</t>
        </is>
      </c>
      <c r="AI122" s="2" t="inlineStr"/>
      <c r="AJ122" t="inlineStr">
        <is>
          <t>https://gretil.sub.uni-goettingen.de/gretil.html</t>
        </is>
      </c>
      <c r="AK122" t="inlineStr">
        <is>
          <t>https://www.wisdomlib.org/</t>
        </is>
      </c>
      <c r="AL122" t="inlineStr">
        <is>
          <t>https://www.britishmuseum.org/collection/search?keyword=Manu+flood+Satapatha</t>
        </is>
      </c>
      <c r="AM122" t="inlineStr">
        <is>
          <t>https://whc.unesco.org/en/search/?searchterm=Manu+flood+Satapatha</t>
        </is>
      </c>
      <c r="AN122" t="inlineStr">
        <is>
          <t>https://whc.unesco.org/en/search/?searchterm=Manu+flood+Satapatha</t>
        </is>
      </c>
      <c r="AO122" t="inlineStr">
        <is>
          <t>1) Fact base: GRETIL. 2) Translation/text: Wisdom Library. 3) Images/objects: British Museum Collection. 4) Context/explanation: UNESCO. 5) Geography/maps: UNESCO. Use Suggested_Search_Term inside each portal.</t>
        </is>
      </c>
      <c r="AP122" t="inlineStr">
        <is>
          <t>Mixed: direct portal homepages plus search-result URLs where the portal exposes a public search endpoint.</t>
        </is>
      </c>
    </row>
    <row r="123">
      <c r="A123" s="2" t="n">
        <v>122</v>
      </c>
      <c r="B123" s="9" t="inlineStr">
        <is>
          <t>Later_witness_or_post_1AD_relevance</t>
        </is>
      </c>
      <c r="C123" s="2" t="inlineStr">
        <is>
          <t>South Asia</t>
        </is>
      </c>
      <c r="D123" s="2" t="inlineStr">
        <is>
          <t>South Asian traditions</t>
        </is>
      </c>
      <c r="E123" s="2" t="n">
        <v>-1500</v>
      </c>
      <c r="F123" s="2" t="n">
        <v>1200</v>
      </c>
      <c r="G123" s="2" t="inlineStr">
        <is>
          <t>c. 1500 BCE to 1200 CE</t>
        </is>
      </c>
      <c r="H123" s="2" t="inlineStr">
        <is>
          <t>Dwarka archaeology and submerged-city claims</t>
        </is>
      </c>
      <c r="I123" s="2" t="inlineStr">
        <is>
          <t>Site / later witness</t>
        </is>
      </c>
      <c r="J123" s="2" t="inlineStr">
        <is>
          <t>Archaeology + later epic association</t>
        </is>
      </c>
      <c r="K123" s="2" t="inlineStr">
        <is>
          <t>Maritime city</t>
        </is>
      </c>
      <c r="L123" s="2" t="inlineStr">
        <is>
          <t>Sacred geography</t>
        </is>
      </c>
      <c r="M123" s="2" t="inlineStr">
        <is>
          <t>India</t>
        </is>
      </c>
      <c r="N123" s="2" t="inlineStr">
        <is>
          <t>Gujarat coast</t>
        </is>
      </c>
      <c r="O123" s="2" t="inlineStr">
        <is>
          <t>Archaeological remains and later epic identification with Krishna's city.</t>
        </is>
      </c>
      <c r="P123" s="2" t="inlineStr">
        <is>
          <t>Frequently cited in submerged-city narratives and Hancock-adjacent discussions.</t>
        </is>
      </c>
      <c r="Q123" s="2" t="inlineStr">
        <is>
          <t>High</t>
        </is>
      </c>
      <c r="R123" s="2" t="inlineStr">
        <is>
          <t>Partial</t>
        </is>
      </c>
      <c r="S123" s="2" t="inlineStr">
        <is>
          <t>Medium</t>
        </is>
      </c>
      <c r="T123" s="2" t="inlineStr">
        <is>
          <t>ASI</t>
        </is>
      </c>
      <c r="U123" s="8" t="inlineStr">
        <is>
          <t>https://asi.nic.in/</t>
        </is>
      </c>
      <c r="V123" s="2" t="inlineStr">
        <is>
          <t>ASI</t>
        </is>
      </c>
      <c r="W123" s="8" t="inlineStr">
        <is>
          <t>https://asi.nic.in/</t>
        </is>
      </c>
      <c r="X123" s="2" t="inlineStr">
        <is>
          <t>British Museum Collection</t>
        </is>
      </c>
      <c r="Y123" s="8" t="inlineStr">
        <is>
          <t>https://www.britishmuseum.org/collection</t>
        </is>
      </c>
      <c r="Z123" s="2" t="inlineStr">
        <is>
          <t>UNESCO</t>
        </is>
      </c>
      <c r="AA123" s="8" t="inlineStr">
        <is>
          <t>https://whc.unesco.org/</t>
        </is>
      </c>
      <c r="AB123" s="2" t="inlineStr">
        <is>
          <t>UNESCO</t>
        </is>
      </c>
      <c r="AC123" s="8" t="inlineStr">
        <is>
          <t>https://whc.unesco.org/</t>
        </is>
      </c>
      <c r="AD123" s="2" t="inlineStr">
        <is>
          <t>Dwarka archaeology</t>
        </is>
      </c>
      <c r="AE123" s="2" t="inlineStr">
        <is>
          <t>Keep archaeological layers separate from epic identification.</t>
        </is>
      </c>
      <c r="AF123" s="2" t="inlineStr">
        <is>
          <t>Submerged city; epic memory</t>
        </is>
      </c>
      <c r="AG123" s="2" t="inlineStr">
        <is>
          <t>High</t>
        </is>
      </c>
      <c r="AH123" s="2" t="inlineStr">
        <is>
          <t>High</t>
        </is>
      </c>
      <c r="AI123" s="2" t="inlineStr"/>
      <c r="AJ123" t="inlineStr">
        <is>
          <t>https://asi.nic.in/</t>
        </is>
      </c>
      <c r="AK123" t="inlineStr">
        <is>
          <t>https://asi.nic.in/</t>
        </is>
      </c>
      <c r="AL123" t="inlineStr">
        <is>
          <t>https://www.britishmuseum.org/collection/search?keyword=Dwarka+archaeology</t>
        </is>
      </c>
      <c r="AM123" t="inlineStr">
        <is>
          <t>https://whc.unesco.org/en/search/?searchterm=Dwarka+archaeology</t>
        </is>
      </c>
      <c r="AN123" t="inlineStr">
        <is>
          <t>https://whc.unesco.org/en/search/?searchterm=Dwarka+archaeology</t>
        </is>
      </c>
      <c r="AO123" t="inlineStr">
        <is>
          <t>1) Fact base: ASI. 2) Translation/text: ASI. 3) Images/objects: British Museum Collection. 4) Context/explanation: UNESCO. 5) Geography/maps: UNESCO. Use Suggested_Search_Term inside each portal.</t>
        </is>
      </c>
      <c r="AP123" t="inlineStr">
        <is>
          <t>Mixed: direct portal homepages plus search-result URLs where the portal exposes a public search endpoint.</t>
        </is>
      </c>
    </row>
    <row r="124">
      <c r="A124" s="2" t="n">
        <v>123</v>
      </c>
      <c r="B124" s="7" t="inlineStr">
        <is>
          <t>BCE_to_1AD</t>
        </is>
      </c>
      <c r="C124" s="2" t="inlineStr">
        <is>
          <t>China</t>
        </is>
      </c>
      <c r="D124" s="2" t="inlineStr">
        <is>
          <t>Ancient China</t>
        </is>
      </c>
      <c r="E124" s="2" t="n">
        <v>-1250</v>
      </c>
      <c r="F124" s="2" t="n">
        <v>-1046</v>
      </c>
      <c r="G124" s="2" t="inlineStr">
        <is>
          <t>c. 1250 BCE to 1046 BCE</t>
        </is>
      </c>
      <c r="H124" s="2" t="inlineStr">
        <is>
          <t>Yinxu / Anyang</t>
        </is>
      </c>
      <c r="I124" s="2" t="inlineStr">
        <is>
          <t>Site</t>
        </is>
      </c>
      <c r="J124" s="2" t="inlineStr">
        <is>
          <t>Archaeology</t>
        </is>
      </c>
      <c r="K124" s="2" t="inlineStr">
        <is>
          <t>Kingship</t>
        </is>
      </c>
      <c r="L124" s="2" t="inlineStr">
        <is>
          <t>Divination</t>
        </is>
      </c>
      <c r="M124" s="2" t="inlineStr">
        <is>
          <t>China</t>
        </is>
      </c>
      <c r="N124" s="2" t="inlineStr">
        <is>
          <t>Late Shang capital</t>
        </is>
      </c>
      <c r="O124" s="2" t="inlineStr">
        <is>
          <t>Late Shang capital with palaces, royal tombs, and oracle-bone deposits.</t>
        </is>
      </c>
      <c r="P124" s="2" t="inlineStr">
        <is>
          <t>Best archaeological anchor for early Chinese writing and royal ritual.</t>
        </is>
      </c>
      <c r="Q124" s="2" t="inlineStr">
        <is>
          <t>Medium</t>
        </is>
      </c>
      <c r="R124" s="2" t="inlineStr">
        <is>
          <t>Not applicable</t>
        </is>
      </c>
      <c r="S124" s="2" t="inlineStr">
        <is>
          <t>Medium</t>
        </is>
      </c>
      <c r="T124" s="2" t="inlineStr">
        <is>
          <t>UNESCO</t>
        </is>
      </c>
      <c r="U124" s="8" t="inlineStr">
        <is>
          <t>https://whc.unesco.org/</t>
        </is>
      </c>
      <c r="V124" s="2" t="inlineStr">
        <is>
          <t>UNESCO</t>
        </is>
      </c>
      <c r="W124" s="8" t="inlineStr">
        <is>
          <t>https://whc.unesco.org/</t>
        </is>
      </c>
      <c r="X124" s="2" t="inlineStr">
        <is>
          <t>Met Collection</t>
        </is>
      </c>
      <c r="Y124" s="8" t="inlineStr">
        <is>
          <t>https://www.metmuseum.org/art/collection</t>
        </is>
      </c>
      <c r="Z124" s="2" t="inlineStr">
        <is>
          <t>UNESCO</t>
        </is>
      </c>
      <c r="AA124" s="8" t="inlineStr">
        <is>
          <t>https://whc.unesco.org/</t>
        </is>
      </c>
      <c r="AB124" s="2" t="inlineStr">
        <is>
          <t>UNESCO</t>
        </is>
      </c>
      <c r="AC124" s="8" t="inlineStr">
        <is>
          <t>https://whc.unesco.org/</t>
        </is>
      </c>
      <c r="AD124" s="2" t="inlineStr">
        <is>
          <t>Yinxu UNESCO</t>
        </is>
      </c>
      <c r="AE124" s="2" t="inlineStr">
        <is>
          <t>Context and inscription corpora should be read together.</t>
        </is>
      </c>
      <c r="AF124" s="2" t="inlineStr">
        <is>
          <t>Divination; kingship; ancestors</t>
        </is>
      </c>
      <c r="AG124" s="2" t="inlineStr">
        <is>
          <t>Critical</t>
        </is>
      </c>
      <c r="AH124" s="2" t="inlineStr">
        <is>
          <t>High</t>
        </is>
      </c>
      <c r="AI124" s="2" t="inlineStr"/>
      <c r="AJ124" t="inlineStr">
        <is>
          <t>https://whc.unesco.org/en/search/?searchterm=Yinxu+UNESCO</t>
        </is>
      </c>
      <c r="AK124" t="inlineStr">
        <is>
          <t>https://whc.unesco.org/en/search/?searchterm=Yinxu+UNESCO</t>
        </is>
      </c>
      <c r="AL124" t="inlineStr">
        <is>
          <t>https://www.metmuseum.org/art/collection</t>
        </is>
      </c>
      <c r="AM124" t="inlineStr">
        <is>
          <t>https://whc.unesco.org/en/search/?searchterm=Yinxu+UNESCO</t>
        </is>
      </c>
      <c r="AN124" t="inlineStr">
        <is>
          <t>https://whc.unesco.org/en/search/?searchterm=Yinxu+UNESCO</t>
        </is>
      </c>
      <c r="AO124" t="inlineStr">
        <is>
          <t>1) Fact base: UNESCO. 2) Translation/text: UNESCO. 3) Images/objects: Met Collection. 4) Context/explanation: UNESCO. 5) Geography/maps: UNESCO. Use Suggested_Search_Term inside each portal.</t>
        </is>
      </c>
      <c r="AP124" t="inlineStr">
        <is>
          <t>Mixed: direct portal homepages plus search-result URLs where the portal exposes a public search endpoint.</t>
        </is>
      </c>
    </row>
    <row r="125">
      <c r="A125" s="2" t="n">
        <v>124</v>
      </c>
      <c r="B125" s="7" t="inlineStr">
        <is>
          <t>BCE_to_1AD</t>
        </is>
      </c>
      <c r="C125" s="2" t="inlineStr">
        <is>
          <t>China</t>
        </is>
      </c>
      <c r="D125" s="2" t="inlineStr">
        <is>
          <t>Ancient China</t>
        </is>
      </c>
      <c r="E125" s="2" t="n">
        <v>-1250</v>
      </c>
      <c r="F125" s="2" t="n">
        <v>-1046</v>
      </c>
      <c r="G125" s="2" t="inlineStr">
        <is>
          <t>c. 1250 BCE to 1046 BCE</t>
        </is>
      </c>
      <c r="H125" s="2" t="inlineStr">
        <is>
          <t>Oracle Bones</t>
        </is>
      </c>
      <c r="I125" s="2" t="inlineStr">
        <is>
          <t>Inscription corpus</t>
        </is>
      </c>
      <c r="J125" s="2" t="inlineStr">
        <is>
          <t>Bone and shell inscriptions</t>
        </is>
      </c>
      <c r="K125" s="2" t="inlineStr">
        <is>
          <t>Divination</t>
        </is>
      </c>
      <c r="L125" s="2" t="inlineStr">
        <is>
          <t>Writing</t>
        </is>
      </c>
      <c r="M125" s="2" t="inlineStr">
        <is>
          <t>China</t>
        </is>
      </c>
      <c r="N125" s="2" t="inlineStr">
        <is>
          <t>Late Shang tradition</t>
        </is>
      </c>
      <c r="O125" s="2" t="inlineStr">
        <is>
          <t>Earliest substantial corpus of Chinese writing, recording divination queries and outcomes.</t>
        </is>
      </c>
      <c r="P125" s="2" t="inlineStr">
        <is>
          <t>Essential for script origins and state ritual.</t>
        </is>
      </c>
      <c r="Q125" s="2" t="inlineStr">
        <is>
          <t>Medium</t>
        </is>
      </c>
      <c r="R125" s="2" t="inlineStr">
        <is>
          <t>High</t>
        </is>
      </c>
      <c r="S125" s="2" t="inlineStr">
        <is>
          <t>High</t>
        </is>
      </c>
      <c r="T125" s="2" t="inlineStr">
        <is>
          <t>Chinese Text Project</t>
        </is>
      </c>
      <c r="U125" s="8" t="inlineStr">
        <is>
          <t>https://ctext.org/</t>
        </is>
      </c>
      <c r="V125" s="2" t="inlineStr">
        <is>
          <t>Chinese Text Project</t>
        </is>
      </c>
      <c r="W125" s="8" t="inlineStr">
        <is>
          <t>https://ctext.org/</t>
        </is>
      </c>
      <c r="X125" s="2" t="inlineStr">
        <is>
          <t>Met Collection</t>
        </is>
      </c>
      <c r="Y125" s="8" t="inlineStr">
        <is>
          <t>https://www.metmuseum.org/art/collection</t>
        </is>
      </c>
      <c r="Z125" s="2" t="inlineStr">
        <is>
          <t>UNESCO</t>
        </is>
      </c>
      <c r="AA125" s="8" t="inlineStr">
        <is>
          <t>https://whc.unesco.org/</t>
        </is>
      </c>
      <c r="AB125" s="2" t="inlineStr">
        <is>
          <t>UNESCO</t>
        </is>
      </c>
      <c r="AC125" s="8" t="inlineStr">
        <is>
          <t>https://whc.unesco.org/</t>
        </is>
      </c>
      <c r="AD125" s="2" t="inlineStr">
        <is>
          <t>Oracle bones corpus</t>
        </is>
      </c>
      <c r="AE125" s="2" t="inlineStr">
        <is>
          <t>Use inscription numbers and excavation context where possible.</t>
        </is>
      </c>
      <c r="AF125" s="2" t="inlineStr">
        <is>
          <t>Writing origins; divination; ancestors</t>
        </is>
      </c>
      <c r="AG125" s="2" t="inlineStr">
        <is>
          <t>Critical</t>
        </is>
      </c>
      <c r="AH125" s="2" t="inlineStr">
        <is>
          <t>High</t>
        </is>
      </c>
      <c r="AI125" s="2" t="inlineStr"/>
      <c r="AJ125" t="inlineStr">
        <is>
          <t>https://ctext.org/search.pl?if=en&amp;searchu=Oracle+bones+corpus</t>
        </is>
      </c>
      <c r="AK125" t="inlineStr">
        <is>
          <t>https://ctext.org/search.pl?if=en&amp;searchu=Oracle+bones+corpus</t>
        </is>
      </c>
      <c r="AL125" t="inlineStr">
        <is>
          <t>https://www.metmuseum.org/art/collection</t>
        </is>
      </c>
      <c r="AM125" t="inlineStr">
        <is>
          <t>https://whc.unesco.org/en/search/?searchterm=Oracle+bones+corpus</t>
        </is>
      </c>
      <c r="AN125" t="inlineStr">
        <is>
          <t>https://whc.unesco.org/en/search/?searchterm=Oracle+bones+corpus</t>
        </is>
      </c>
      <c r="AO125" t="inlineStr">
        <is>
          <t>1) Fact base: Chinese Text Project. 2) Translation/text: Chinese Text Project. 3) Images/objects: Met Collection. 4) Context/explanation: UNESCO. 5) Geography/maps: UNESCO. Use Suggested_Search_Term inside each portal.</t>
        </is>
      </c>
      <c r="AP125" t="inlineStr">
        <is>
          <t>Mixed: direct portal homepages plus search-result URLs where the portal exposes a public search endpoint.</t>
        </is>
      </c>
    </row>
    <row r="126">
      <c r="A126" s="2" t="n">
        <v>125</v>
      </c>
      <c r="B126" s="7" t="inlineStr">
        <is>
          <t>BCE_to_1AD</t>
        </is>
      </c>
      <c r="C126" s="2" t="inlineStr">
        <is>
          <t>China</t>
        </is>
      </c>
      <c r="D126" s="2" t="inlineStr">
        <is>
          <t>Ancient China</t>
        </is>
      </c>
      <c r="E126" s="2" t="n">
        <v>-1600</v>
      </c>
      <c r="F126" s="2" t="n">
        <v>-1400</v>
      </c>
      <c r="G126" s="2" t="inlineStr">
        <is>
          <t>c. 1600 BCE to 1400 BCE</t>
        </is>
      </c>
      <c r="H126" s="2" t="inlineStr">
        <is>
          <t>Erlitou</t>
        </is>
      </c>
      <c r="I126" s="2" t="inlineStr">
        <is>
          <t>Site</t>
        </is>
      </c>
      <c r="J126" s="2" t="inlineStr">
        <is>
          <t>Archaeology</t>
        </is>
      </c>
      <c r="K126" s="2" t="inlineStr">
        <is>
          <t>Urbanism</t>
        </is>
      </c>
      <c r="L126" s="2" t="inlineStr">
        <is>
          <t>Bronze Age origins</t>
        </is>
      </c>
      <c r="M126" s="2" t="inlineStr">
        <is>
          <t>China</t>
        </is>
      </c>
      <c r="N126" s="2" t="inlineStr">
        <is>
          <t>Henan</t>
        </is>
      </c>
      <c r="O126" s="2" t="inlineStr">
        <is>
          <t>Early Bronze Age complex often discussed in relation to Xia questions.</t>
        </is>
      </c>
      <c r="P126" s="2" t="inlineStr">
        <is>
          <t>Frequently invoked in debates about legendary dynasties and archaeology.</t>
        </is>
      </c>
      <c r="Q126" s="2" t="inlineStr">
        <is>
          <t>High</t>
        </is>
      </c>
      <c r="R126" s="2" t="inlineStr">
        <is>
          <t>Not applicable</t>
        </is>
      </c>
      <c r="S126" s="2" t="inlineStr">
        <is>
          <t>Medium</t>
        </is>
      </c>
      <c r="T126" s="2" t="inlineStr">
        <is>
          <t>UNESCO</t>
        </is>
      </c>
      <c r="U126" s="8" t="inlineStr">
        <is>
          <t>https://whc.unesco.org/</t>
        </is>
      </c>
      <c r="V126" s="2" t="inlineStr">
        <is>
          <t>UNESCO</t>
        </is>
      </c>
      <c r="W126" s="8" t="inlineStr">
        <is>
          <t>https://whc.unesco.org/</t>
        </is>
      </c>
      <c r="X126" s="2" t="inlineStr">
        <is>
          <t>Met Collection</t>
        </is>
      </c>
      <c r="Y126" s="8" t="inlineStr">
        <is>
          <t>https://www.metmuseum.org/art/collection</t>
        </is>
      </c>
      <c r="Z126" s="2" t="inlineStr">
        <is>
          <t>UNESCO</t>
        </is>
      </c>
      <c r="AA126" s="8" t="inlineStr">
        <is>
          <t>https://whc.unesco.org/</t>
        </is>
      </c>
      <c r="AB126" s="2" t="inlineStr">
        <is>
          <t>UNESCO</t>
        </is>
      </c>
      <c r="AC126" s="8" t="inlineStr">
        <is>
          <t>https://whc.unesco.org/</t>
        </is>
      </c>
      <c r="AD126" s="2" t="inlineStr">
        <is>
          <t>Erlitou archaeology</t>
        </is>
      </c>
      <c r="AE126" s="2" t="inlineStr">
        <is>
          <t>Keep legendary Xia identification provisional.</t>
        </is>
      </c>
      <c r="AF126" s="2" t="inlineStr">
        <is>
          <t>Dynastic origins; bronze ritual</t>
        </is>
      </c>
      <c r="AG126" s="2" t="inlineStr">
        <is>
          <t>High</t>
        </is>
      </c>
      <c r="AH126" s="2" t="inlineStr">
        <is>
          <t>High</t>
        </is>
      </c>
      <c r="AI126" s="2" t="inlineStr"/>
      <c r="AJ126" t="inlineStr">
        <is>
          <t>https://whc.unesco.org/en/search/?searchterm=Erlitou+archaeology</t>
        </is>
      </c>
      <c r="AK126" t="inlineStr">
        <is>
          <t>https://whc.unesco.org/en/search/?searchterm=Erlitou+archaeology</t>
        </is>
      </c>
      <c r="AL126" t="inlineStr">
        <is>
          <t>https://www.metmuseum.org/art/collection</t>
        </is>
      </c>
      <c r="AM126" t="inlineStr">
        <is>
          <t>https://whc.unesco.org/en/search/?searchterm=Erlitou+archaeology</t>
        </is>
      </c>
      <c r="AN126" t="inlineStr">
        <is>
          <t>https://whc.unesco.org/en/search/?searchterm=Erlitou+archaeology</t>
        </is>
      </c>
      <c r="AO126" t="inlineStr">
        <is>
          <t>1) Fact base: UNESCO. 2) Translation/text: UNESCO. 3) Images/objects: Met Collection. 4) Context/explanation: UNESCO. 5) Geography/maps: UNESCO. Use Suggested_Search_Term inside each portal.</t>
        </is>
      </c>
      <c r="AP126" t="inlineStr">
        <is>
          <t>Mixed: direct portal homepages plus search-result URLs where the portal exposes a public search endpoint.</t>
        </is>
      </c>
    </row>
    <row r="127">
      <c r="A127" s="2" t="n">
        <v>126</v>
      </c>
      <c r="B127" s="7" t="inlineStr">
        <is>
          <t>BCE_to_1AD</t>
        </is>
      </c>
      <c r="C127" s="2" t="inlineStr">
        <is>
          <t>China</t>
        </is>
      </c>
      <c r="D127" s="2" t="inlineStr">
        <is>
          <t>Ancient China</t>
        </is>
      </c>
      <c r="E127" s="2" t="n">
        <v>-1046</v>
      </c>
      <c r="F127" s="2" t="n">
        <v>-256</v>
      </c>
      <c r="G127" s="2" t="inlineStr">
        <is>
          <t>c. 1046 BCE to 256 BCE</t>
        </is>
      </c>
      <c r="H127" s="2" t="inlineStr">
        <is>
          <t>Zhou Bronze Inscriptions</t>
        </is>
      </c>
      <c r="I127" s="2" t="inlineStr">
        <is>
          <t>Inscription corpus</t>
        </is>
      </c>
      <c r="J127" s="2" t="inlineStr">
        <is>
          <t>Ritual bronzes</t>
        </is>
      </c>
      <c r="K127" s="2" t="inlineStr">
        <is>
          <t>Kingship</t>
        </is>
      </c>
      <c r="L127" s="2" t="inlineStr">
        <is>
          <t>Ancestral cult</t>
        </is>
      </c>
      <c r="M127" s="2" t="inlineStr">
        <is>
          <t>China</t>
        </is>
      </c>
      <c r="N127" s="2" t="inlineStr">
        <is>
          <t>Western/Eastern Zhou</t>
        </is>
      </c>
      <c r="O127" s="2" t="inlineStr">
        <is>
          <t>Inscribed ritual bronzes recording gifts, lineages, events, and ritual memory.</t>
        </is>
      </c>
      <c r="P127" s="2" t="inlineStr">
        <is>
          <t>A core corpus for early Chinese political and religious culture.</t>
        </is>
      </c>
      <c r="Q127" s="2" t="inlineStr">
        <is>
          <t>Low</t>
        </is>
      </c>
      <c r="R127" s="2" t="inlineStr">
        <is>
          <t>High</t>
        </is>
      </c>
      <c r="S127" s="2" t="inlineStr">
        <is>
          <t>High</t>
        </is>
      </c>
      <c r="T127" s="2" t="inlineStr">
        <is>
          <t>Chinese Text Project</t>
        </is>
      </c>
      <c r="U127" s="8" t="inlineStr">
        <is>
          <t>https://ctext.org/</t>
        </is>
      </c>
      <c r="V127" s="2" t="inlineStr">
        <is>
          <t>Chinese Text Project</t>
        </is>
      </c>
      <c r="W127" s="8" t="inlineStr">
        <is>
          <t>https://ctext.org/</t>
        </is>
      </c>
      <c r="X127" s="2" t="inlineStr">
        <is>
          <t>Met Collection</t>
        </is>
      </c>
      <c r="Y127" s="8" t="inlineStr">
        <is>
          <t>https://www.metmuseum.org/art/collection</t>
        </is>
      </c>
      <c r="Z127" s="2" t="inlineStr">
        <is>
          <t>UNESCO</t>
        </is>
      </c>
      <c r="AA127" s="8" t="inlineStr">
        <is>
          <t>https://whc.unesco.org/</t>
        </is>
      </c>
      <c r="AB127" s="2" t="inlineStr">
        <is>
          <t>UNESCO</t>
        </is>
      </c>
      <c r="AC127" s="8" t="inlineStr">
        <is>
          <t>https://whc.unesco.org/</t>
        </is>
      </c>
      <c r="AD127" s="2" t="inlineStr">
        <is>
          <t>Zhou bronzes inscriptions</t>
        </is>
      </c>
      <c r="AE127" s="2" t="inlineStr">
        <is>
          <t>Object provenance matters a great deal.</t>
        </is>
      </c>
      <c r="AF127" s="2" t="inlineStr">
        <is>
          <t>Ancestry; royal gifts; memory</t>
        </is>
      </c>
      <c r="AG127" s="2" t="inlineStr">
        <is>
          <t>High</t>
        </is>
      </c>
      <c r="AH127" s="2" t="inlineStr">
        <is>
          <t>Medium</t>
        </is>
      </c>
      <c r="AI127" s="2" t="inlineStr"/>
      <c r="AJ127" t="inlineStr">
        <is>
          <t>https://ctext.org/search.pl?if=en&amp;searchu=Zhou+bronzes+inscriptions</t>
        </is>
      </c>
      <c r="AK127" t="inlineStr">
        <is>
          <t>https://ctext.org/search.pl?if=en&amp;searchu=Zhou+bronzes+inscriptions</t>
        </is>
      </c>
      <c r="AL127" t="inlineStr">
        <is>
          <t>https://www.metmuseum.org/art/collection</t>
        </is>
      </c>
      <c r="AM127" t="inlineStr">
        <is>
          <t>https://whc.unesco.org/en/search/?searchterm=Zhou+bronzes+inscriptions</t>
        </is>
      </c>
      <c r="AN127" t="inlineStr">
        <is>
          <t>https://whc.unesco.org/en/search/?searchterm=Zhou+bronzes+inscriptions</t>
        </is>
      </c>
      <c r="AO127" t="inlineStr">
        <is>
          <t>1) Fact base: Chinese Text Project. 2) Translation/text: Chinese Text Project. 3) Images/objects: Met Collection. 4) Context/explanation: UNESCO. 5) Geography/maps: UNESCO. Use Suggested_Search_Term inside each portal.</t>
        </is>
      </c>
      <c r="AP127" t="inlineStr">
        <is>
          <t>Mixed: direct portal homepages plus search-result URLs where the portal exposes a public search endpoint.</t>
        </is>
      </c>
    </row>
    <row r="128">
      <c r="A128" s="2" t="n">
        <v>127</v>
      </c>
      <c r="B128" s="7" t="inlineStr">
        <is>
          <t>BCE_to_1AD</t>
        </is>
      </c>
      <c r="C128" s="2" t="inlineStr">
        <is>
          <t>China</t>
        </is>
      </c>
      <c r="D128" s="2" t="inlineStr">
        <is>
          <t>Ancient China</t>
        </is>
      </c>
      <c r="E128" s="2" t="n">
        <v>-1250</v>
      </c>
      <c r="F128" s="2" t="n">
        <v>-1000</v>
      </c>
      <c r="G128" s="2" t="inlineStr">
        <is>
          <t>c. 1250 BCE to 1000 BCE</t>
        </is>
      </c>
      <c r="H128" s="2" t="inlineStr">
        <is>
          <t>Shang Ritual Bronzes</t>
        </is>
      </c>
      <c r="I128" s="2" t="inlineStr">
        <is>
          <t>Artifact corpus</t>
        </is>
      </c>
      <c r="J128" s="2" t="inlineStr">
        <is>
          <t>Bronze vessels</t>
        </is>
      </c>
      <c r="K128" s="2" t="inlineStr">
        <is>
          <t>Ritual</t>
        </is>
      </c>
      <c r="L128" s="2" t="inlineStr">
        <is>
          <t>Elite culture</t>
        </is>
      </c>
      <c r="M128" s="2" t="inlineStr">
        <is>
          <t>China</t>
        </is>
      </c>
      <c r="N128" s="2" t="inlineStr">
        <is>
          <t>Shang realm</t>
        </is>
      </c>
      <c r="O128" s="2" t="inlineStr">
        <is>
          <t>Large bronze-vessel tradition used in ancestral ritual and elite display.</t>
        </is>
      </c>
      <c r="P128" s="2" t="inlineStr">
        <is>
          <t>Frequently cited as evidence of unexpectedly early metallurgical sophistication.</t>
        </is>
      </c>
      <c r="Q128" s="2" t="inlineStr">
        <is>
          <t>Medium</t>
        </is>
      </c>
      <c r="R128" s="2" t="inlineStr">
        <is>
          <t>Not applicable</t>
        </is>
      </c>
      <c r="S128" s="2" t="inlineStr">
        <is>
          <t>High</t>
        </is>
      </c>
      <c r="T128" s="2" t="inlineStr">
        <is>
          <t>UNESCO</t>
        </is>
      </c>
      <c r="U128" s="8" t="inlineStr">
        <is>
          <t>https://whc.unesco.org/</t>
        </is>
      </c>
      <c r="V128" s="2" t="inlineStr">
        <is>
          <t>UNESCO</t>
        </is>
      </c>
      <c r="W128" s="8" t="inlineStr">
        <is>
          <t>https://whc.unesco.org/</t>
        </is>
      </c>
      <c r="X128" s="2" t="inlineStr">
        <is>
          <t>Met Collection</t>
        </is>
      </c>
      <c r="Y128" s="8" t="inlineStr">
        <is>
          <t>https://www.metmuseum.org/art/collection</t>
        </is>
      </c>
      <c r="Z128" s="2" t="inlineStr">
        <is>
          <t>UNESCO</t>
        </is>
      </c>
      <c r="AA128" s="8" t="inlineStr">
        <is>
          <t>https://whc.unesco.org/</t>
        </is>
      </c>
      <c r="AB128" s="2" t="inlineStr">
        <is>
          <t>UNESCO</t>
        </is>
      </c>
      <c r="AC128" s="8" t="inlineStr">
        <is>
          <t>https://whc.unesco.org/</t>
        </is>
      </c>
      <c r="AD128" s="2" t="inlineStr">
        <is>
          <t>Shang bronzes</t>
        </is>
      </c>
      <c r="AE128" s="2" t="inlineStr">
        <is>
          <t>Avoid decontextualized aesthetics; keep inscription and tomb context.</t>
        </is>
      </c>
      <c r="AF128" s="2" t="inlineStr">
        <is>
          <t>Ancestral rites; elite power</t>
        </is>
      </c>
      <c r="AG128" s="2" t="inlineStr">
        <is>
          <t>High</t>
        </is>
      </c>
      <c r="AH128" s="2" t="inlineStr">
        <is>
          <t>Medium</t>
        </is>
      </c>
      <c r="AI128" s="2" t="inlineStr"/>
      <c r="AJ128" t="inlineStr">
        <is>
          <t>https://whc.unesco.org/en/search/?searchterm=Shang+bronzes</t>
        </is>
      </c>
      <c r="AK128" t="inlineStr">
        <is>
          <t>https://whc.unesco.org/en/search/?searchterm=Shang+bronzes</t>
        </is>
      </c>
      <c r="AL128" t="inlineStr">
        <is>
          <t>https://www.metmuseum.org/art/collection</t>
        </is>
      </c>
      <c r="AM128" t="inlineStr">
        <is>
          <t>https://whc.unesco.org/en/search/?searchterm=Shang+bronzes</t>
        </is>
      </c>
      <c r="AN128" t="inlineStr">
        <is>
          <t>https://whc.unesco.org/en/search/?searchterm=Shang+bronzes</t>
        </is>
      </c>
      <c r="AO128" t="inlineStr">
        <is>
          <t>1) Fact base: UNESCO. 2) Translation/text: UNESCO. 3) Images/objects: Met Collection. 4) Context/explanation: UNESCO. 5) Geography/maps: UNESCO. Use Suggested_Search_Term inside each portal.</t>
        </is>
      </c>
      <c r="AP128" t="inlineStr">
        <is>
          <t>Mixed: direct portal homepages plus search-result URLs where the portal exposes a public search endpoint.</t>
        </is>
      </c>
    </row>
    <row r="129">
      <c r="A129" s="2" t="n">
        <v>128</v>
      </c>
      <c r="B129" s="7" t="inlineStr">
        <is>
          <t>BCE_to_1AD</t>
        </is>
      </c>
      <c r="C129" s="2" t="inlineStr">
        <is>
          <t>China</t>
        </is>
      </c>
      <c r="D129" s="2" t="inlineStr">
        <is>
          <t>Ancient China</t>
        </is>
      </c>
      <c r="E129" s="2" t="n">
        <v>-1200</v>
      </c>
      <c r="F129" s="2" t="n">
        <v>-1000</v>
      </c>
      <c r="G129" s="2" t="inlineStr">
        <is>
          <t>c. 1200 BCE to 1000 BCE</t>
        </is>
      </c>
      <c r="H129" s="2" t="inlineStr">
        <is>
          <t>Sanxingdui</t>
        </is>
      </c>
      <c r="I129" s="2" t="inlineStr">
        <is>
          <t>Site / artifact corpus</t>
        </is>
      </c>
      <c r="J129" s="2" t="inlineStr">
        <is>
          <t>Archaeology and bronzes</t>
        </is>
      </c>
      <c r="K129" s="2" t="inlineStr">
        <is>
          <t>Ritual</t>
        </is>
      </c>
      <c r="L129" s="2" t="inlineStr">
        <is>
          <t>Regional civilization</t>
        </is>
      </c>
      <c r="M129" s="2" t="inlineStr">
        <is>
          <t>China</t>
        </is>
      </c>
      <c r="N129" s="2" t="inlineStr">
        <is>
          <t>Sichuan</t>
        </is>
      </c>
      <c r="O129" s="2" t="inlineStr">
        <is>
          <t>Extraordinary bronze masks, trees, and ritual pits from ancient Shu culture.</t>
        </is>
      </c>
      <c r="P129" s="2" t="inlineStr">
        <is>
          <t>A favorite of alternative writers because the material culture looks unlike central-plains China.</t>
        </is>
      </c>
      <c r="Q129" s="2" t="inlineStr">
        <is>
          <t>High</t>
        </is>
      </c>
      <c r="R129" s="2" t="inlineStr">
        <is>
          <t>Not applicable</t>
        </is>
      </c>
      <c r="S129" s="2" t="inlineStr">
        <is>
          <t>High</t>
        </is>
      </c>
      <c r="T129" s="2" t="inlineStr">
        <is>
          <t>UNESCO</t>
        </is>
      </c>
      <c r="U129" s="8" t="inlineStr">
        <is>
          <t>https://whc.unesco.org/</t>
        </is>
      </c>
      <c r="V129" s="2" t="inlineStr">
        <is>
          <t>UNESCO</t>
        </is>
      </c>
      <c r="W129" s="8" t="inlineStr">
        <is>
          <t>https://whc.unesco.org/</t>
        </is>
      </c>
      <c r="X129" s="2" t="inlineStr">
        <is>
          <t>Met Collection</t>
        </is>
      </c>
      <c r="Y129" s="8" t="inlineStr">
        <is>
          <t>https://www.metmuseum.org/art/collection</t>
        </is>
      </c>
      <c r="Z129" s="2" t="inlineStr">
        <is>
          <t>UNESCO</t>
        </is>
      </c>
      <c r="AA129" s="8" t="inlineStr">
        <is>
          <t>https://whc.unesco.org/</t>
        </is>
      </c>
      <c r="AB129" s="2" t="inlineStr">
        <is>
          <t>UNESCO</t>
        </is>
      </c>
      <c r="AC129" s="8" t="inlineStr">
        <is>
          <t>https://whc.unesco.org/</t>
        </is>
      </c>
      <c r="AD129" s="2" t="inlineStr">
        <is>
          <t>Sanxingdui museum bronzes</t>
        </is>
      </c>
      <c r="AE129" s="2" t="inlineStr">
        <is>
          <t>Best explained through regional diversity, not necessarily outsiders.</t>
        </is>
      </c>
      <c r="AF129" s="2" t="inlineStr">
        <is>
          <t>Regional gods; masks; sacred trees</t>
        </is>
      </c>
      <c r="AG129" s="2" t="inlineStr">
        <is>
          <t>Critical</t>
        </is>
      </c>
      <c r="AH129" s="2" t="inlineStr">
        <is>
          <t>High</t>
        </is>
      </c>
      <c r="AI129" s="2" t="inlineStr"/>
      <c r="AJ129" t="inlineStr">
        <is>
          <t>https://whc.unesco.org/en/search/?searchterm=Sanxingdui+museum+bronzes</t>
        </is>
      </c>
      <c r="AK129" t="inlineStr">
        <is>
          <t>https://whc.unesco.org/en/search/?searchterm=Sanxingdui+museum+bronzes</t>
        </is>
      </c>
      <c r="AL129" t="inlineStr">
        <is>
          <t>https://www.metmuseum.org/art/collection</t>
        </is>
      </c>
      <c r="AM129" t="inlineStr">
        <is>
          <t>https://whc.unesco.org/en/search/?searchterm=Sanxingdui+museum+bronzes</t>
        </is>
      </c>
      <c r="AN129" t="inlineStr">
        <is>
          <t>https://whc.unesco.org/en/search/?searchterm=Sanxingdui+museum+bronzes</t>
        </is>
      </c>
      <c r="AO129" t="inlineStr">
        <is>
          <t>1) Fact base: UNESCO. 2) Translation/text: UNESCO. 3) Images/objects: Met Collection. 4) Context/explanation: UNESCO. 5) Geography/maps: UNESCO. Use Suggested_Search_Term inside each portal.</t>
        </is>
      </c>
      <c r="AP129" t="inlineStr">
        <is>
          <t>Mixed: direct portal homepages plus search-result URLs where the portal exposes a public search endpoint.</t>
        </is>
      </c>
    </row>
    <row r="130">
      <c r="A130" s="2" t="n">
        <v>129</v>
      </c>
      <c r="B130" s="7" t="inlineStr">
        <is>
          <t>BCE_to_1AD</t>
        </is>
      </c>
      <c r="C130" s="2" t="inlineStr">
        <is>
          <t>China</t>
        </is>
      </c>
      <c r="D130" s="2" t="inlineStr">
        <is>
          <t>Ancient China</t>
        </is>
      </c>
      <c r="E130" s="2" t="n">
        <v>-1000</v>
      </c>
      <c r="F130" s="2" t="n">
        <v>-500</v>
      </c>
      <c r="G130" s="2" t="inlineStr">
        <is>
          <t>c. 1000 BCE to 500 BCE</t>
        </is>
      </c>
      <c r="H130" s="2" t="inlineStr">
        <is>
          <t>Jinsha</t>
        </is>
      </c>
      <c r="I130" s="2" t="inlineStr">
        <is>
          <t>Site / artifact corpus</t>
        </is>
      </c>
      <c r="J130" s="2" t="inlineStr">
        <is>
          <t>Archaeology and gold/ivory</t>
        </is>
      </c>
      <c r="K130" s="2" t="inlineStr">
        <is>
          <t>Ritual</t>
        </is>
      </c>
      <c r="L130" s="2" t="inlineStr">
        <is>
          <t>Regional continuity</t>
        </is>
      </c>
      <c r="M130" s="2" t="inlineStr">
        <is>
          <t>China</t>
        </is>
      </c>
      <c r="N130" s="2" t="inlineStr">
        <is>
          <t>Sichuan</t>
        </is>
      </c>
      <c r="O130" s="2" t="inlineStr">
        <is>
          <t>Site often compared with Sanxingdui for later regional development.</t>
        </is>
      </c>
      <c r="P130" s="2" t="inlineStr">
        <is>
          <t>Useful for continuity rather than one-off mystery framing.</t>
        </is>
      </c>
      <c r="Q130" s="2" t="inlineStr">
        <is>
          <t>Medium</t>
        </is>
      </c>
      <c r="R130" s="2" t="inlineStr">
        <is>
          <t>Not applicable</t>
        </is>
      </c>
      <c r="S130" s="2" t="inlineStr">
        <is>
          <t>Medium</t>
        </is>
      </c>
      <c r="T130" s="2" t="inlineStr">
        <is>
          <t>UNESCO</t>
        </is>
      </c>
      <c r="U130" s="8" t="inlineStr">
        <is>
          <t>https://whc.unesco.org/</t>
        </is>
      </c>
      <c r="V130" s="2" t="inlineStr">
        <is>
          <t>UNESCO</t>
        </is>
      </c>
      <c r="W130" s="8" t="inlineStr">
        <is>
          <t>https://whc.unesco.org/</t>
        </is>
      </c>
      <c r="X130" s="2" t="inlineStr">
        <is>
          <t>Met Collection</t>
        </is>
      </c>
      <c r="Y130" s="8" t="inlineStr">
        <is>
          <t>https://www.metmuseum.org/art/collection</t>
        </is>
      </c>
      <c r="Z130" s="2" t="inlineStr">
        <is>
          <t>UNESCO</t>
        </is>
      </c>
      <c r="AA130" s="8" t="inlineStr">
        <is>
          <t>https://whc.unesco.org/</t>
        </is>
      </c>
      <c r="AB130" s="2" t="inlineStr">
        <is>
          <t>UNESCO</t>
        </is>
      </c>
      <c r="AC130" s="8" t="inlineStr">
        <is>
          <t>https://whc.unesco.org/</t>
        </is>
      </c>
      <c r="AD130" s="2" t="inlineStr">
        <is>
          <t>Jinsha site museum</t>
        </is>
      </c>
      <c r="AE130" s="2" t="inlineStr">
        <is>
          <t>Links well with Sanxingdui study.</t>
        </is>
      </c>
      <c r="AF130" s="2" t="inlineStr">
        <is>
          <t>Regional continuity; solar bird motif</t>
        </is>
      </c>
      <c r="AG130" s="2" t="inlineStr">
        <is>
          <t>Medium</t>
        </is>
      </c>
      <c r="AH130" s="2" t="inlineStr">
        <is>
          <t>Medium</t>
        </is>
      </c>
      <c r="AI130" s="2" t="inlineStr"/>
      <c r="AJ130" t="inlineStr">
        <is>
          <t>https://whc.unesco.org/en/search/?searchterm=Jinsha+site+museum</t>
        </is>
      </c>
      <c r="AK130" t="inlineStr">
        <is>
          <t>https://whc.unesco.org/en/search/?searchterm=Jinsha+site+museum</t>
        </is>
      </c>
      <c r="AL130" t="inlineStr">
        <is>
          <t>https://www.metmuseum.org/art/collection</t>
        </is>
      </c>
      <c r="AM130" t="inlineStr">
        <is>
          <t>https://whc.unesco.org/en/search/?searchterm=Jinsha+site+museum</t>
        </is>
      </c>
      <c r="AN130" t="inlineStr">
        <is>
          <t>https://whc.unesco.org/en/search/?searchterm=Jinsha+site+museum</t>
        </is>
      </c>
      <c r="AO130" t="inlineStr">
        <is>
          <t>1) Fact base: UNESCO. 2) Translation/text: UNESCO. 3) Images/objects: Met Collection. 4) Context/explanation: UNESCO. 5) Geography/maps: UNESCO. Use Suggested_Search_Term inside each portal.</t>
        </is>
      </c>
      <c r="AP130" t="inlineStr">
        <is>
          <t>Mixed: direct portal homepages plus search-result URLs where the portal exposes a public search endpoint.</t>
        </is>
      </c>
    </row>
    <row r="131">
      <c r="A131" s="2" t="n">
        <v>130</v>
      </c>
      <c r="B131" s="7" t="inlineStr">
        <is>
          <t>BCE_to_1AD</t>
        </is>
      </c>
      <c r="C131" s="2" t="inlineStr">
        <is>
          <t>China</t>
        </is>
      </c>
      <c r="D131" s="2" t="inlineStr">
        <is>
          <t>Ancient China</t>
        </is>
      </c>
      <c r="E131" s="2" t="n">
        <v>-3300</v>
      </c>
      <c r="F131" s="2" t="n">
        <v>-2300</v>
      </c>
      <c r="G131" s="2" t="inlineStr">
        <is>
          <t>c. 3300 BCE to 2300 BCE</t>
        </is>
      </c>
      <c r="H131" s="2" t="inlineStr">
        <is>
          <t>Liangzhu</t>
        </is>
      </c>
      <c r="I131" s="2" t="inlineStr">
        <is>
          <t>Site / culture</t>
        </is>
      </c>
      <c r="J131" s="2" t="inlineStr">
        <is>
          <t>Archaeology</t>
        </is>
      </c>
      <c r="K131" s="2" t="inlineStr">
        <is>
          <t>Neolithic complexity</t>
        </is>
      </c>
      <c r="L131" s="2" t="inlineStr">
        <is>
          <t>Jade ritual</t>
        </is>
      </c>
      <c r="M131" s="2" t="inlineStr">
        <is>
          <t>China</t>
        </is>
      </c>
      <c r="N131" s="2" t="inlineStr">
        <is>
          <t>Lower Yangtze</t>
        </is>
      </c>
      <c r="O131" s="2" t="inlineStr">
        <is>
          <t>Late Neolithic culture known for massive water management and jade ritual objects.</t>
        </is>
      </c>
      <c r="P131" s="2" t="inlineStr">
        <is>
          <t>Important for early complexity outside the Yellow River core.</t>
        </is>
      </c>
      <c r="Q131" s="2" t="inlineStr">
        <is>
          <t>High</t>
        </is>
      </c>
      <c r="R131" s="2" t="inlineStr">
        <is>
          <t>Not applicable</t>
        </is>
      </c>
      <c r="S131" s="2" t="inlineStr">
        <is>
          <t>High</t>
        </is>
      </c>
      <c r="T131" s="2" t="inlineStr">
        <is>
          <t>UNESCO</t>
        </is>
      </c>
      <c r="U131" s="8" t="inlineStr">
        <is>
          <t>https://whc.unesco.org/</t>
        </is>
      </c>
      <c r="V131" s="2" t="inlineStr">
        <is>
          <t>UNESCO</t>
        </is>
      </c>
      <c r="W131" s="8" t="inlineStr">
        <is>
          <t>https://whc.unesco.org/</t>
        </is>
      </c>
      <c r="X131" s="2" t="inlineStr">
        <is>
          <t>Met Collection</t>
        </is>
      </c>
      <c r="Y131" s="8" t="inlineStr">
        <is>
          <t>https://www.metmuseum.org/art/collection</t>
        </is>
      </c>
      <c r="Z131" s="2" t="inlineStr">
        <is>
          <t>UNESCO</t>
        </is>
      </c>
      <c r="AA131" s="8" t="inlineStr">
        <is>
          <t>https://whc.unesco.org/</t>
        </is>
      </c>
      <c r="AB131" s="2" t="inlineStr">
        <is>
          <t>UNESCO</t>
        </is>
      </c>
      <c r="AC131" s="8" t="inlineStr">
        <is>
          <t>https://whc.unesco.org/</t>
        </is>
      </c>
      <c r="AD131" s="2" t="inlineStr">
        <is>
          <t>Liangzhu UNESCO</t>
        </is>
      </c>
      <c r="AE131" s="2" t="inlineStr">
        <is>
          <t>Excellent counterpoint to Mesopotamia/Egypt origin models.</t>
        </is>
      </c>
      <c r="AF131" s="2" t="inlineStr">
        <is>
          <t>Jade ritual; early states; hydrology</t>
        </is>
      </c>
      <c r="AG131" s="2" t="inlineStr">
        <is>
          <t>High</t>
        </is>
      </c>
      <c r="AH131" s="2" t="inlineStr">
        <is>
          <t>High</t>
        </is>
      </c>
      <c r="AI131" s="2" t="inlineStr"/>
      <c r="AJ131" t="inlineStr">
        <is>
          <t>https://whc.unesco.org/en/search/?searchterm=Liangzhu+UNESCO</t>
        </is>
      </c>
      <c r="AK131" t="inlineStr">
        <is>
          <t>https://whc.unesco.org/en/search/?searchterm=Liangzhu+UNESCO</t>
        </is>
      </c>
      <c r="AL131" t="inlineStr">
        <is>
          <t>https://www.metmuseum.org/art/collection</t>
        </is>
      </c>
      <c r="AM131" t="inlineStr">
        <is>
          <t>https://whc.unesco.org/en/search/?searchterm=Liangzhu+UNESCO</t>
        </is>
      </c>
      <c r="AN131" t="inlineStr">
        <is>
          <t>https://whc.unesco.org/en/search/?searchterm=Liangzhu+UNESCO</t>
        </is>
      </c>
      <c r="AO131" t="inlineStr">
        <is>
          <t>1) Fact base: UNESCO. 2) Translation/text: UNESCO. 3) Images/objects: Met Collection. 4) Context/explanation: UNESCO. 5) Geography/maps: UNESCO. Use Suggested_Search_Term inside each portal.</t>
        </is>
      </c>
      <c r="AP131" t="inlineStr">
        <is>
          <t>Mixed: direct portal homepages plus search-result URLs where the portal exposes a public search endpoint.</t>
        </is>
      </c>
    </row>
    <row r="132">
      <c r="A132" s="2" t="n">
        <v>131</v>
      </c>
      <c r="B132" s="7" t="inlineStr">
        <is>
          <t>BCE_to_1AD</t>
        </is>
      </c>
      <c r="C132" s="2" t="inlineStr">
        <is>
          <t>China</t>
        </is>
      </c>
      <c r="D132" s="2" t="inlineStr">
        <is>
          <t>Ancient China</t>
        </is>
      </c>
      <c r="E132" s="2" t="n">
        <v>-4700</v>
      </c>
      <c r="F132" s="2" t="n">
        <v>-2900</v>
      </c>
      <c r="G132" s="2" t="inlineStr">
        <is>
          <t>c. 4700 BCE to 2900 BCE</t>
        </is>
      </c>
      <c r="H132" s="2" t="inlineStr">
        <is>
          <t>Hongshan Culture</t>
        </is>
      </c>
      <c r="I132" s="2" t="inlineStr">
        <is>
          <t>Culture / artifacts</t>
        </is>
      </c>
      <c r="J132" s="2" t="inlineStr">
        <is>
          <t>Archaeology</t>
        </is>
      </c>
      <c r="K132" s="2" t="inlineStr">
        <is>
          <t>Neolithic ritual</t>
        </is>
      </c>
      <c r="L132" s="2" t="inlineStr">
        <is>
          <t>Jade iconography</t>
        </is>
      </c>
      <c r="M132" s="2" t="inlineStr">
        <is>
          <t>China</t>
        </is>
      </c>
      <c r="N132" s="2" t="inlineStr">
        <is>
          <t>Northeast China</t>
        </is>
      </c>
      <c r="O132" s="2" t="inlineStr">
        <is>
          <t>Neolithic culture with ritual sites and carved jades including dragon forms.</t>
        </is>
      </c>
      <c r="P132" s="2" t="inlineStr">
        <is>
          <t>Popular in deep-antiquity iconographic discussions.</t>
        </is>
      </c>
      <c r="Q132" s="2" t="inlineStr">
        <is>
          <t>Medium</t>
        </is>
      </c>
      <c r="R132" s="2" t="inlineStr">
        <is>
          <t>Not applicable</t>
        </is>
      </c>
      <c r="S132" s="2" t="inlineStr">
        <is>
          <t>Medium</t>
        </is>
      </c>
      <c r="T132" s="2" t="inlineStr">
        <is>
          <t>UNESCO</t>
        </is>
      </c>
      <c r="U132" s="8" t="inlineStr">
        <is>
          <t>https://whc.unesco.org/</t>
        </is>
      </c>
      <c r="V132" s="2" t="inlineStr">
        <is>
          <t>UNESCO</t>
        </is>
      </c>
      <c r="W132" s="8" t="inlineStr">
        <is>
          <t>https://whc.unesco.org/</t>
        </is>
      </c>
      <c r="X132" s="2" t="inlineStr">
        <is>
          <t>Met Collection</t>
        </is>
      </c>
      <c r="Y132" s="8" t="inlineStr">
        <is>
          <t>https://www.metmuseum.org/art/collection</t>
        </is>
      </c>
      <c r="Z132" s="2" t="inlineStr">
        <is>
          <t>UNESCO</t>
        </is>
      </c>
      <c r="AA132" s="8" t="inlineStr">
        <is>
          <t>https://whc.unesco.org/</t>
        </is>
      </c>
      <c r="AB132" s="2" t="inlineStr">
        <is>
          <t>UNESCO</t>
        </is>
      </c>
      <c r="AC132" s="8" t="inlineStr">
        <is>
          <t>https://whc.unesco.org/</t>
        </is>
      </c>
      <c r="AD132" s="2" t="inlineStr">
        <is>
          <t>Hongshan archaeology</t>
        </is>
      </c>
      <c r="AE132" s="2" t="inlineStr">
        <is>
          <t>Interpretations should be grounded in excavated context.</t>
        </is>
      </c>
      <c r="AF132" s="2" t="inlineStr">
        <is>
          <t>Jade; dragon symbolism</t>
        </is>
      </c>
      <c r="AG132" s="2" t="inlineStr">
        <is>
          <t>Medium</t>
        </is>
      </c>
      <c r="AH132" s="2" t="inlineStr">
        <is>
          <t>Medium</t>
        </is>
      </c>
      <c r="AI132" s="2" t="inlineStr"/>
      <c r="AJ132" t="inlineStr">
        <is>
          <t>https://whc.unesco.org/en/search/?searchterm=Hongshan+archaeology</t>
        </is>
      </c>
      <c r="AK132" t="inlineStr">
        <is>
          <t>https://whc.unesco.org/en/search/?searchterm=Hongshan+archaeology</t>
        </is>
      </c>
      <c r="AL132" t="inlineStr">
        <is>
          <t>https://www.metmuseum.org/art/collection</t>
        </is>
      </c>
      <c r="AM132" t="inlineStr">
        <is>
          <t>https://whc.unesco.org/en/search/?searchterm=Hongshan+archaeology</t>
        </is>
      </c>
      <c r="AN132" t="inlineStr">
        <is>
          <t>https://whc.unesco.org/en/search/?searchterm=Hongshan+archaeology</t>
        </is>
      </c>
      <c r="AO132" t="inlineStr">
        <is>
          <t>1) Fact base: UNESCO. 2) Translation/text: UNESCO. 3) Images/objects: Met Collection. 4) Context/explanation: UNESCO. 5) Geography/maps: UNESCO. Use Suggested_Search_Term inside each portal.</t>
        </is>
      </c>
      <c r="AP132" t="inlineStr">
        <is>
          <t>Mixed: direct portal homepages plus search-result URLs where the portal exposes a public search endpoint.</t>
        </is>
      </c>
    </row>
    <row r="133">
      <c r="A133" s="2" t="n">
        <v>132</v>
      </c>
      <c r="B133" s="7" t="inlineStr">
        <is>
          <t>BCE_to_1AD</t>
        </is>
      </c>
      <c r="C133" s="2" t="inlineStr">
        <is>
          <t>China</t>
        </is>
      </c>
      <c r="D133" s="2" t="inlineStr">
        <is>
          <t>Ancient China</t>
        </is>
      </c>
      <c r="E133" s="2" t="n">
        <v>-600</v>
      </c>
      <c r="F133" s="2" t="n">
        <v>-300</v>
      </c>
      <c r="G133" s="2" t="inlineStr">
        <is>
          <t>c. 600 BCE to 300 BCE</t>
        </is>
      </c>
      <c r="H133" s="2" t="inlineStr">
        <is>
          <t>Shujing / Book of Documents</t>
        </is>
      </c>
      <c r="I133" s="2" t="inlineStr">
        <is>
          <t>Text tradition</t>
        </is>
      </c>
      <c r="J133" s="2" t="inlineStr">
        <is>
          <t>Later transmitted text</t>
        </is>
      </c>
      <c r="K133" s="2" t="inlineStr">
        <is>
          <t>Kingship</t>
        </is>
      </c>
      <c r="L133" s="2" t="inlineStr">
        <is>
          <t>Historical memory</t>
        </is>
      </c>
      <c r="M133" s="2" t="inlineStr">
        <is>
          <t>China</t>
        </is>
      </c>
      <c r="N133" s="2" t="inlineStr">
        <is>
          <t>Classical Chinese tradition</t>
        </is>
      </c>
      <c r="O133" s="2" t="inlineStr">
        <is>
          <t>Compilation of speeches and documents associated with early Chinese rulers.</t>
        </is>
      </c>
      <c r="P133" s="2" t="inlineStr">
        <is>
          <t>Important for dynastic memory and legitimizing history.</t>
        </is>
      </c>
      <c r="Q133" s="2" t="inlineStr">
        <is>
          <t>Low</t>
        </is>
      </c>
      <c r="R133" s="2" t="inlineStr">
        <is>
          <t>High</t>
        </is>
      </c>
      <c r="S133" s="2" t="inlineStr">
        <is>
          <t>Low</t>
        </is>
      </c>
      <c r="T133" s="2" t="inlineStr">
        <is>
          <t>Chinese Text Project</t>
        </is>
      </c>
      <c r="U133" s="8" t="inlineStr">
        <is>
          <t>https://ctext.org/</t>
        </is>
      </c>
      <c r="V133" s="2" t="inlineStr">
        <is>
          <t>Chinese Text Project</t>
        </is>
      </c>
      <c r="W133" s="8" t="inlineStr">
        <is>
          <t>https://ctext.org/</t>
        </is>
      </c>
      <c r="X133" s="2" t="inlineStr">
        <is>
          <t>Met Collection</t>
        </is>
      </c>
      <c r="Y133" s="8" t="inlineStr">
        <is>
          <t>https://www.metmuseum.org/art/collection</t>
        </is>
      </c>
      <c r="Z133" s="2" t="inlineStr">
        <is>
          <t>UNESCO</t>
        </is>
      </c>
      <c r="AA133" s="8" t="inlineStr">
        <is>
          <t>https://whc.unesco.org/</t>
        </is>
      </c>
      <c r="AB133" s="2" t="inlineStr">
        <is>
          <t>UNESCO</t>
        </is>
      </c>
      <c r="AC133" s="8" t="inlineStr">
        <is>
          <t>https://whc.unesco.org/</t>
        </is>
      </c>
      <c r="AD133" s="2" t="inlineStr">
        <is>
          <t>Shujing Chinese Text Project</t>
        </is>
      </c>
      <c r="AE133" s="2" t="inlineStr">
        <is>
          <t>Textual layers and authenticity debates matter.</t>
        </is>
      </c>
      <c r="AF133" s="2" t="inlineStr">
        <is>
          <t>Kingship; mandate; early history</t>
        </is>
      </c>
      <c r="AG133" s="2" t="inlineStr">
        <is>
          <t>High</t>
        </is>
      </c>
      <c r="AH133" s="2" t="inlineStr">
        <is>
          <t>Medium</t>
        </is>
      </c>
      <c r="AI133" s="2" t="inlineStr"/>
      <c r="AJ133" t="inlineStr">
        <is>
          <t>https://ctext.org/search.pl?if=en&amp;searchu=Shujing+Chinese+Text+Project</t>
        </is>
      </c>
      <c r="AK133" t="inlineStr">
        <is>
          <t>https://ctext.org/search.pl?if=en&amp;searchu=Shujing+Chinese+Text+Project</t>
        </is>
      </c>
      <c r="AL133" t="inlineStr">
        <is>
          <t>https://www.metmuseum.org/art/collection</t>
        </is>
      </c>
      <c r="AM133" t="inlineStr">
        <is>
          <t>https://whc.unesco.org/en/search/?searchterm=Shujing+Chinese+Text+Project</t>
        </is>
      </c>
      <c r="AN133" t="inlineStr">
        <is>
          <t>https://whc.unesco.org/en/search/?searchterm=Shujing+Chinese+Text+Project</t>
        </is>
      </c>
      <c r="AO133" t="inlineStr">
        <is>
          <t>1) Fact base: Chinese Text Project. 2) Translation/text: Chinese Text Project. 3) Images/objects: Met Collection. 4) Context/explanation: UNESCO. 5) Geography/maps: UNESCO. Use Suggested_Search_Term inside each portal.</t>
        </is>
      </c>
      <c r="AP133" t="inlineStr">
        <is>
          <t>Mixed: direct portal homepages plus search-result URLs where the portal exposes a public search endpoint.</t>
        </is>
      </c>
    </row>
    <row r="134">
      <c r="A134" s="2" t="n">
        <v>133</v>
      </c>
      <c r="B134" s="7" t="inlineStr">
        <is>
          <t>BCE_to_1AD</t>
        </is>
      </c>
      <c r="C134" s="2" t="inlineStr">
        <is>
          <t>China</t>
        </is>
      </c>
      <c r="D134" s="2" t="inlineStr">
        <is>
          <t>Ancient China</t>
        </is>
      </c>
      <c r="E134" s="2" t="n">
        <v>-1000</v>
      </c>
      <c r="F134" s="2" t="n">
        <v>-600</v>
      </c>
      <c r="G134" s="2" t="inlineStr">
        <is>
          <t>c. 1000 BCE to 600 BCE</t>
        </is>
      </c>
      <c r="H134" s="2" t="inlineStr">
        <is>
          <t>Shijing / Book of Odes</t>
        </is>
      </c>
      <c r="I134" s="2" t="inlineStr">
        <is>
          <t>Text tradition</t>
        </is>
      </c>
      <c r="J134" s="2" t="inlineStr">
        <is>
          <t>Later transmitted text</t>
        </is>
      </c>
      <c r="K134" s="2" t="inlineStr">
        <is>
          <t>Ritual</t>
        </is>
      </c>
      <c r="L134" s="2" t="inlineStr">
        <is>
          <t>Poetry</t>
        </is>
      </c>
      <c r="M134" s="2" t="inlineStr">
        <is>
          <t>China</t>
        </is>
      </c>
      <c r="N134" s="2" t="inlineStr">
        <is>
          <t>Classical Chinese tradition</t>
        </is>
      </c>
      <c r="O134" s="2" t="inlineStr">
        <is>
          <t>Anthology of poems preserving court, ritual, and social memory.</t>
        </is>
      </c>
      <c r="P134" s="2" t="inlineStr">
        <is>
          <t>Useful as cultural control source rather than mystery text.</t>
        </is>
      </c>
      <c r="Q134" s="2" t="inlineStr">
        <is>
          <t>Low</t>
        </is>
      </c>
      <c r="R134" s="2" t="inlineStr">
        <is>
          <t>High</t>
        </is>
      </c>
      <c r="S134" s="2" t="inlineStr">
        <is>
          <t>Low</t>
        </is>
      </c>
      <c r="T134" s="2" t="inlineStr">
        <is>
          <t>Chinese Text Project</t>
        </is>
      </c>
      <c r="U134" s="8" t="inlineStr">
        <is>
          <t>https://ctext.org/</t>
        </is>
      </c>
      <c r="V134" s="2" t="inlineStr">
        <is>
          <t>Chinese Text Project</t>
        </is>
      </c>
      <c r="W134" s="8" t="inlineStr">
        <is>
          <t>https://ctext.org/</t>
        </is>
      </c>
      <c r="X134" s="2" t="inlineStr">
        <is>
          <t>Met Collection</t>
        </is>
      </c>
      <c r="Y134" s="8" t="inlineStr">
        <is>
          <t>https://www.metmuseum.org/art/collection</t>
        </is>
      </c>
      <c r="Z134" s="2" t="inlineStr">
        <is>
          <t>UNESCO</t>
        </is>
      </c>
      <c r="AA134" s="8" t="inlineStr">
        <is>
          <t>https://whc.unesco.org/</t>
        </is>
      </c>
      <c r="AB134" s="2" t="inlineStr">
        <is>
          <t>UNESCO</t>
        </is>
      </c>
      <c r="AC134" s="8" t="inlineStr">
        <is>
          <t>https://whc.unesco.org/</t>
        </is>
      </c>
      <c r="AD134" s="2" t="inlineStr">
        <is>
          <t>Shijing Chinese Text Project</t>
        </is>
      </c>
      <c r="AE134" s="2" t="inlineStr">
        <is>
          <t>Add commentary and historical context when using.</t>
        </is>
      </c>
      <c r="AF134" s="2" t="inlineStr">
        <is>
          <t>Ritual; social memory</t>
        </is>
      </c>
      <c r="AG134" s="2" t="inlineStr">
        <is>
          <t>Medium</t>
        </is>
      </c>
      <c r="AH134" s="2" t="inlineStr">
        <is>
          <t>Low</t>
        </is>
      </c>
      <c r="AI134" s="2" t="inlineStr"/>
      <c r="AJ134" t="inlineStr">
        <is>
          <t>https://ctext.org/search.pl?if=en&amp;searchu=Shijing+Chinese+Text+Project</t>
        </is>
      </c>
      <c r="AK134" t="inlineStr">
        <is>
          <t>https://ctext.org/search.pl?if=en&amp;searchu=Shijing+Chinese+Text+Project</t>
        </is>
      </c>
      <c r="AL134" t="inlineStr">
        <is>
          <t>https://www.metmuseum.org/art/collection</t>
        </is>
      </c>
      <c r="AM134" t="inlineStr">
        <is>
          <t>https://whc.unesco.org/en/search/?searchterm=Shijing+Chinese+Text+Project</t>
        </is>
      </c>
      <c r="AN134" t="inlineStr">
        <is>
          <t>https://whc.unesco.org/en/search/?searchterm=Shijing+Chinese+Text+Project</t>
        </is>
      </c>
      <c r="AO134" t="inlineStr">
        <is>
          <t>1) Fact base: Chinese Text Project. 2) Translation/text: Chinese Text Project. 3) Images/objects: Met Collection. 4) Context/explanation: UNESCO. 5) Geography/maps: UNESCO. Use Suggested_Search_Term inside each portal.</t>
        </is>
      </c>
      <c r="AP134" t="inlineStr">
        <is>
          <t>Mixed: direct portal homepages plus search-result URLs where the portal exposes a public search endpoint.</t>
        </is>
      </c>
    </row>
    <row r="135">
      <c r="A135" s="2" t="n">
        <v>134</v>
      </c>
      <c r="B135" s="7" t="inlineStr">
        <is>
          <t>BCE_to_1AD</t>
        </is>
      </c>
      <c r="C135" s="2" t="inlineStr">
        <is>
          <t>China</t>
        </is>
      </c>
      <c r="D135" s="2" t="inlineStr">
        <is>
          <t>Ancient China</t>
        </is>
      </c>
      <c r="E135" s="2" t="n">
        <v>-1000</v>
      </c>
      <c r="F135" s="2" t="n">
        <v>-300</v>
      </c>
      <c r="G135" s="2" t="inlineStr">
        <is>
          <t>c. 1000 BCE to 300 BCE</t>
        </is>
      </c>
      <c r="H135" s="2" t="inlineStr">
        <is>
          <t>Yijing / Book of Changes</t>
        </is>
      </c>
      <c r="I135" s="2" t="inlineStr">
        <is>
          <t>Text tradition</t>
        </is>
      </c>
      <c r="J135" s="2" t="inlineStr">
        <is>
          <t>Transmitted text + commentarial growth</t>
        </is>
      </c>
      <c r="K135" s="2" t="inlineStr">
        <is>
          <t>Divination</t>
        </is>
      </c>
      <c r="L135" s="2" t="inlineStr">
        <is>
          <t>Cosmology</t>
        </is>
      </c>
      <c r="M135" s="2" t="inlineStr">
        <is>
          <t>China</t>
        </is>
      </c>
      <c r="N135" s="2" t="inlineStr">
        <is>
          <t>Classical Chinese tradition</t>
        </is>
      </c>
      <c r="O135" s="2" t="inlineStr">
        <is>
          <t>Divination manual and later cosmological classic.</t>
        </is>
      </c>
      <c r="P135" s="2" t="inlineStr">
        <is>
          <t>Important for ordered-change cosmology and technical divination.</t>
        </is>
      </c>
      <c r="Q135" s="2" t="inlineStr">
        <is>
          <t>Medium</t>
        </is>
      </c>
      <c r="R135" s="2" t="inlineStr">
        <is>
          <t>High</t>
        </is>
      </c>
      <c r="S135" s="2" t="inlineStr">
        <is>
          <t>Low</t>
        </is>
      </c>
      <c r="T135" s="2" t="inlineStr">
        <is>
          <t>Chinese Text Project</t>
        </is>
      </c>
      <c r="U135" s="8" t="inlineStr">
        <is>
          <t>https://ctext.org/</t>
        </is>
      </c>
      <c r="V135" s="2" t="inlineStr">
        <is>
          <t>Chinese Text Project</t>
        </is>
      </c>
      <c r="W135" s="8" t="inlineStr">
        <is>
          <t>https://ctext.org/</t>
        </is>
      </c>
      <c r="X135" s="2" t="inlineStr">
        <is>
          <t>Met Collection</t>
        </is>
      </c>
      <c r="Y135" s="8" t="inlineStr">
        <is>
          <t>https://www.metmuseum.org/art/collection</t>
        </is>
      </c>
      <c r="Z135" s="2" t="inlineStr">
        <is>
          <t>UNESCO</t>
        </is>
      </c>
      <c r="AA135" s="8" t="inlineStr">
        <is>
          <t>https://whc.unesco.org/</t>
        </is>
      </c>
      <c r="AB135" s="2" t="inlineStr">
        <is>
          <t>UNESCO</t>
        </is>
      </c>
      <c r="AC135" s="8" t="inlineStr">
        <is>
          <t>https://whc.unesco.org/</t>
        </is>
      </c>
      <c r="AD135" s="2" t="inlineStr">
        <is>
          <t>Yijing Chinese Text Project</t>
        </is>
      </c>
      <c r="AE135" s="2" t="inlineStr">
        <is>
          <t>Distinguish core divination text from later commentaries.</t>
        </is>
      </c>
      <c r="AF135" s="2" t="inlineStr">
        <is>
          <t>Divination; cosmic order</t>
        </is>
      </c>
      <c r="AG135" s="2" t="inlineStr">
        <is>
          <t>High</t>
        </is>
      </c>
      <c r="AH135" s="2" t="inlineStr">
        <is>
          <t>Medium</t>
        </is>
      </c>
      <c r="AI135" s="2" t="inlineStr"/>
      <c r="AJ135" t="inlineStr">
        <is>
          <t>https://ctext.org/search.pl?if=en&amp;searchu=Yijing+Chinese+Text+Project</t>
        </is>
      </c>
      <c r="AK135" t="inlineStr">
        <is>
          <t>https://ctext.org/search.pl?if=en&amp;searchu=Yijing+Chinese+Text+Project</t>
        </is>
      </c>
      <c r="AL135" t="inlineStr">
        <is>
          <t>https://www.metmuseum.org/art/collection</t>
        </is>
      </c>
      <c r="AM135" t="inlineStr">
        <is>
          <t>https://whc.unesco.org/en/search/?searchterm=Yijing+Chinese+Text+Project</t>
        </is>
      </c>
      <c r="AN135" t="inlineStr">
        <is>
          <t>https://whc.unesco.org/en/search/?searchterm=Yijing+Chinese+Text+Project</t>
        </is>
      </c>
      <c r="AO135" t="inlineStr">
        <is>
          <t>1) Fact base: Chinese Text Project. 2) Translation/text: Chinese Text Project. 3) Images/objects: Met Collection. 4) Context/explanation: UNESCO. 5) Geography/maps: UNESCO. Use Suggested_Search_Term inside each portal.</t>
        </is>
      </c>
      <c r="AP135" t="inlineStr">
        <is>
          <t>Mixed: direct portal homepages plus search-result URLs where the portal exposes a public search endpoint.</t>
        </is>
      </c>
    </row>
    <row r="136">
      <c r="A136" s="2" t="n">
        <v>135</v>
      </c>
      <c r="B136" s="7" t="inlineStr">
        <is>
          <t>BCE_to_1AD</t>
        </is>
      </c>
      <c r="C136" s="2" t="inlineStr">
        <is>
          <t>China</t>
        </is>
      </c>
      <c r="D136" s="2" t="inlineStr">
        <is>
          <t>Ancient China</t>
        </is>
      </c>
      <c r="E136" s="2" t="n">
        <v>-500</v>
      </c>
      <c r="F136" s="2" t="n">
        <v>-200</v>
      </c>
      <c r="G136" s="2" t="inlineStr">
        <is>
          <t>c. 500 BCE to 200 BCE</t>
        </is>
      </c>
      <c r="H136" s="2" t="inlineStr">
        <is>
          <t>Zuo Zhuan</t>
        </is>
      </c>
      <c r="I136" s="2" t="inlineStr">
        <is>
          <t>Text tradition</t>
        </is>
      </c>
      <c r="J136" s="2" t="inlineStr">
        <is>
          <t>Transmitted historical narrative</t>
        </is>
      </c>
      <c r="K136" s="2" t="inlineStr">
        <is>
          <t>History</t>
        </is>
      </c>
      <c r="L136" s="2" t="inlineStr">
        <is>
          <t>Political memory</t>
        </is>
      </c>
      <c r="M136" s="2" t="inlineStr">
        <is>
          <t>China</t>
        </is>
      </c>
      <c r="N136" s="2" t="inlineStr">
        <is>
          <t>Spring and Autumn context</t>
        </is>
      </c>
      <c r="O136" s="2" t="inlineStr">
        <is>
          <t>Extended historical narrative traditionally attached to the Spring and Autumn Annals.</t>
        </is>
      </c>
      <c r="P136" s="2" t="inlineStr">
        <is>
          <t>Useful for early historiography and statecraft.</t>
        </is>
      </c>
      <c r="Q136" s="2" t="inlineStr">
        <is>
          <t>Low</t>
        </is>
      </c>
      <c r="R136" s="2" t="inlineStr">
        <is>
          <t>High</t>
        </is>
      </c>
      <c r="S136" s="2" t="inlineStr">
        <is>
          <t>Low</t>
        </is>
      </c>
      <c r="T136" s="2" t="inlineStr">
        <is>
          <t>Chinese Text Project</t>
        </is>
      </c>
      <c r="U136" s="8" t="inlineStr">
        <is>
          <t>https://ctext.org/</t>
        </is>
      </c>
      <c r="V136" s="2" t="inlineStr">
        <is>
          <t>Chinese Text Project</t>
        </is>
      </c>
      <c r="W136" s="8" t="inlineStr">
        <is>
          <t>https://ctext.org/</t>
        </is>
      </c>
      <c r="X136" s="2" t="inlineStr">
        <is>
          <t>Met Collection</t>
        </is>
      </c>
      <c r="Y136" s="8" t="inlineStr">
        <is>
          <t>https://www.metmuseum.org/art/collection</t>
        </is>
      </c>
      <c r="Z136" s="2" t="inlineStr">
        <is>
          <t>UNESCO</t>
        </is>
      </c>
      <c r="AA136" s="8" t="inlineStr">
        <is>
          <t>https://whc.unesco.org/</t>
        </is>
      </c>
      <c r="AB136" s="2" t="inlineStr">
        <is>
          <t>UNESCO</t>
        </is>
      </c>
      <c r="AC136" s="8" t="inlineStr">
        <is>
          <t>https://whc.unesco.org/</t>
        </is>
      </c>
      <c r="AD136" s="2" t="inlineStr">
        <is>
          <t>Zuo Zhuan Chinese Text Project</t>
        </is>
      </c>
      <c r="AE136" s="2" t="inlineStr">
        <is>
          <t>Not a mythic source but a history-building control text.</t>
        </is>
      </c>
      <c r="AF136" s="2" t="inlineStr">
        <is>
          <t>History writing; statecraft</t>
        </is>
      </c>
      <c r="AG136" s="2" t="inlineStr">
        <is>
          <t>Medium</t>
        </is>
      </c>
      <c r="AH136" s="2" t="inlineStr">
        <is>
          <t>Low</t>
        </is>
      </c>
      <c r="AI136" s="2" t="inlineStr"/>
      <c r="AJ136" t="inlineStr">
        <is>
          <t>https://ctext.org/search.pl?if=en&amp;searchu=Zuo+Zhuan+Chinese+Text+Project</t>
        </is>
      </c>
      <c r="AK136" t="inlineStr">
        <is>
          <t>https://ctext.org/search.pl?if=en&amp;searchu=Zuo+Zhuan+Chinese+Text+Project</t>
        </is>
      </c>
      <c r="AL136" t="inlineStr">
        <is>
          <t>https://www.metmuseum.org/art/collection</t>
        </is>
      </c>
      <c r="AM136" t="inlineStr">
        <is>
          <t>https://whc.unesco.org/en/search/?searchterm=Zuo+Zhuan+Chinese+Text+Project</t>
        </is>
      </c>
      <c r="AN136" t="inlineStr">
        <is>
          <t>https://whc.unesco.org/en/search/?searchterm=Zuo+Zhuan+Chinese+Text+Project</t>
        </is>
      </c>
      <c r="AO136" t="inlineStr">
        <is>
          <t>1) Fact base: Chinese Text Project. 2) Translation/text: Chinese Text Project. 3) Images/objects: Met Collection. 4) Context/explanation: UNESCO. 5) Geography/maps: UNESCO. Use Suggested_Search_Term inside each portal.</t>
        </is>
      </c>
      <c r="AP136" t="inlineStr">
        <is>
          <t>Mixed: direct portal homepages plus search-result URLs where the portal exposes a public search endpoint.</t>
        </is>
      </c>
    </row>
    <row r="137">
      <c r="A137" s="2" t="n">
        <v>136</v>
      </c>
      <c r="B137" s="7" t="inlineStr">
        <is>
          <t>BCE_to_1AD</t>
        </is>
      </c>
      <c r="C137" s="2" t="inlineStr">
        <is>
          <t>China</t>
        </is>
      </c>
      <c r="D137" s="2" t="inlineStr">
        <is>
          <t>Ancient China</t>
        </is>
      </c>
      <c r="E137" s="2" t="n">
        <v>-500</v>
      </c>
      <c r="F137" s="2" t="n">
        <v>-200</v>
      </c>
      <c r="G137" s="2" t="inlineStr">
        <is>
          <t>c. 500 BCE to 200 BCE</t>
        </is>
      </c>
      <c r="H137" s="2" t="inlineStr">
        <is>
          <t>Guoyu</t>
        </is>
      </c>
      <c r="I137" s="2" t="inlineStr">
        <is>
          <t>Text tradition</t>
        </is>
      </c>
      <c r="J137" s="2" t="inlineStr">
        <is>
          <t>Transmitted speeches</t>
        </is>
      </c>
      <c r="K137" s="2" t="inlineStr">
        <is>
          <t>History</t>
        </is>
      </c>
      <c r="L137" s="2" t="inlineStr">
        <is>
          <t>State discourse</t>
        </is>
      </c>
      <c r="M137" s="2" t="inlineStr">
        <is>
          <t>China</t>
        </is>
      </c>
      <c r="N137" s="2" t="inlineStr">
        <is>
          <t>Classical Chinese tradition</t>
        </is>
      </c>
      <c r="O137" s="2" t="inlineStr">
        <is>
          <t>Collection of speeches and political material associated with various states.</t>
        </is>
      </c>
      <c r="P137" s="2" t="inlineStr">
        <is>
          <t>Useful for comparative early historiography.</t>
        </is>
      </c>
      <c r="Q137" s="2" t="inlineStr">
        <is>
          <t>Low</t>
        </is>
      </c>
      <c r="R137" s="2" t="inlineStr">
        <is>
          <t>High</t>
        </is>
      </c>
      <c r="S137" s="2" t="inlineStr">
        <is>
          <t>Low</t>
        </is>
      </c>
      <c r="T137" s="2" t="inlineStr">
        <is>
          <t>Chinese Text Project</t>
        </is>
      </c>
      <c r="U137" s="8" t="inlineStr">
        <is>
          <t>https://ctext.org/</t>
        </is>
      </c>
      <c r="V137" s="2" t="inlineStr">
        <is>
          <t>Chinese Text Project</t>
        </is>
      </c>
      <c r="W137" s="8" t="inlineStr">
        <is>
          <t>https://ctext.org/</t>
        </is>
      </c>
      <c r="X137" s="2" t="inlineStr">
        <is>
          <t>Met Collection</t>
        </is>
      </c>
      <c r="Y137" s="8" t="inlineStr">
        <is>
          <t>https://www.metmuseum.org/art/collection</t>
        </is>
      </c>
      <c r="Z137" s="2" t="inlineStr">
        <is>
          <t>UNESCO</t>
        </is>
      </c>
      <c r="AA137" s="8" t="inlineStr">
        <is>
          <t>https://whc.unesco.org/</t>
        </is>
      </c>
      <c r="AB137" s="2" t="inlineStr">
        <is>
          <t>UNESCO</t>
        </is>
      </c>
      <c r="AC137" s="8" t="inlineStr">
        <is>
          <t>https://whc.unesco.org/</t>
        </is>
      </c>
      <c r="AD137" s="2" t="inlineStr">
        <is>
          <t>Guoyu Chinese Text Project</t>
        </is>
      </c>
      <c r="AE137" s="2" t="inlineStr">
        <is>
          <t>Good supplement to Zuo Zhuan.</t>
        </is>
      </c>
      <c r="AF137" s="2" t="inlineStr">
        <is>
          <t>Political memory; diplomacy</t>
        </is>
      </c>
      <c r="AG137" s="2" t="inlineStr">
        <is>
          <t>Low</t>
        </is>
      </c>
      <c r="AH137" s="2" t="inlineStr">
        <is>
          <t>Low</t>
        </is>
      </c>
      <c r="AI137" s="2" t="inlineStr"/>
      <c r="AJ137" t="inlineStr">
        <is>
          <t>https://ctext.org/search.pl?if=en&amp;searchu=Guoyu+Chinese+Text+Project</t>
        </is>
      </c>
      <c r="AK137" t="inlineStr">
        <is>
          <t>https://ctext.org/search.pl?if=en&amp;searchu=Guoyu+Chinese+Text+Project</t>
        </is>
      </c>
      <c r="AL137" t="inlineStr">
        <is>
          <t>https://www.metmuseum.org/art/collection</t>
        </is>
      </c>
      <c r="AM137" t="inlineStr">
        <is>
          <t>https://whc.unesco.org/en/search/?searchterm=Guoyu+Chinese+Text+Project</t>
        </is>
      </c>
      <c r="AN137" t="inlineStr">
        <is>
          <t>https://whc.unesco.org/en/search/?searchterm=Guoyu+Chinese+Text+Project</t>
        </is>
      </c>
      <c r="AO137" t="inlineStr">
        <is>
          <t>1) Fact base: Chinese Text Project. 2) Translation/text: Chinese Text Project. 3) Images/objects: Met Collection. 4) Context/explanation: UNESCO. 5) Geography/maps: UNESCO. Use Suggested_Search_Term inside each portal.</t>
        </is>
      </c>
      <c r="AP137" t="inlineStr">
        <is>
          <t>Mixed: direct portal homepages plus search-result URLs where the portal exposes a public search endpoint.</t>
        </is>
      </c>
    </row>
    <row r="138">
      <c r="A138" s="2" t="n">
        <v>137</v>
      </c>
      <c r="B138" s="7" t="inlineStr">
        <is>
          <t>BCE_to_1AD</t>
        </is>
      </c>
      <c r="C138" s="2" t="inlineStr">
        <is>
          <t>China</t>
        </is>
      </c>
      <c r="D138" s="2" t="inlineStr">
        <is>
          <t>Ancient China</t>
        </is>
      </c>
      <c r="E138" s="2" t="n">
        <v>-400</v>
      </c>
      <c r="F138" s="2" t="n">
        <v>-200</v>
      </c>
      <c r="G138" s="2" t="inlineStr">
        <is>
          <t>c. 400 BCE to 200 BCE</t>
        </is>
      </c>
      <c r="H138" s="2" t="inlineStr">
        <is>
          <t>Shan Hai Jing</t>
        </is>
      </c>
      <c r="I138" s="2" t="inlineStr">
        <is>
          <t>Text tradition</t>
        </is>
      </c>
      <c r="J138" s="2" t="inlineStr">
        <is>
          <t>Compiled text with older layers</t>
        </is>
      </c>
      <c r="K138" s="2" t="inlineStr">
        <is>
          <t>Mythic geography</t>
        </is>
      </c>
      <c r="L138" s="2" t="inlineStr">
        <is>
          <t>Creation landscapes</t>
        </is>
      </c>
      <c r="M138" s="2" t="inlineStr">
        <is>
          <t>China</t>
        </is>
      </c>
      <c r="N138" s="2" t="inlineStr">
        <is>
          <t>Ancient Chinese tradition</t>
        </is>
      </c>
      <c r="O138" s="2" t="inlineStr">
        <is>
          <t>Text of mountains, seas, beings, and strange geographies.</t>
        </is>
      </c>
      <c r="P138" s="2" t="inlineStr">
        <is>
          <t>A key text for mythic geography and deep-memory storytelling.</t>
        </is>
      </c>
      <c r="Q138" s="2" t="inlineStr">
        <is>
          <t>High</t>
        </is>
      </c>
      <c r="R138" s="2" t="inlineStr">
        <is>
          <t>High</t>
        </is>
      </c>
      <c r="S138" s="2" t="inlineStr">
        <is>
          <t>Low</t>
        </is>
      </c>
      <c r="T138" s="2" t="inlineStr">
        <is>
          <t>Chinese Text Project</t>
        </is>
      </c>
      <c r="U138" s="8" t="inlineStr">
        <is>
          <t>https://ctext.org/</t>
        </is>
      </c>
      <c r="V138" s="2" t="inlineStr">
        <is>
          <t>Chinese Text Project</t>
        </is>
      </c>
      <c r="W138" s="8" t="inlineStr">
        <is>
          <t>https://ctext.org/</t>
        </is>
      </c>
      <c r="X138" s="2" t="inlineStr">
        <is>
          <t>Met Collection</t>
        </is>
      </c>
      <c r="Y138" s="8" t="inlineStr">
        <is>
          <t>https://www.metmuseum.org/art/collection</t>
        </is>
      </c>
      <c r="Z138" s="2" t="inlineStr">
        <is>
          <t>UNESCO</t>
        </is>
      </c>
      <c r="AA138" s="8" t="inlineStr">
        <is>
          <t>https://whc.unesco.org/</t>
        </is>
      </c>
      <c r="AB138" s="2" t="inlineStr">
        <is>
          <t>UNESCO</t>
        </is>
      </c>
      <c r="AC138" s="8" t="inlineStr">
        <is>
          <t>https://whc.unesco.org/</t>
        </is>
      </c>
      <c r="AD138" s="2" t="inlineStr">
        <is>
          <t>Shan Hai Jing Chinese Text Project</t>
        </is>
      </c>
      <c r="AE138" s="2" t="inlineStr">
        <is>
          <t>Composite and difficult; pair with commentary.</t>
        </is>
      </c>
      <c r="AF138" s="2" t="inlineStr">
        <is>
          <t>Mythic maps; monsters; sacred geography</t>
        </is>
      </c>
      <c r="AG138" s="2" t="inlineStr">
        <is>
          <t>Critical</t>
        </is>
      </c>
      <c r="AH138" s="2" t="inlineStr">
        <is>
          <t>High</t>
        </is>
      </c>
      <c r="AI138" s="2" t="inlineStr"/>
      <c r="AJ138" t="inlineStr">
        <is>
          <t>https://ctext.org/search.pl?if=en&amp;searchu=Shan+Hai+Jing+Chinese+Text+Project</t>
        </is>
      </c>
      <c r="AK138" t="inlineStr">
        <is>
          <t>https://ctext.org/search.pl?if=en&amp;searchu=Shan+Hai+Jing+Chinese+Text+Project</t>
        </is>
      </c>
      <c r="AL138" t="inlineStr">
        <is>
          <t>https://www.metmuseum.org/art/collection</t>
        </is>
      </c>
      <c r="AM138" t="inlineStr">
        <is>
          <t>https://whc.unesco.org/en/search/?searchterm=Shan+Hai+Jing+Chinese+Text+Project</t>
        </is>
      </c>
      <c r="AN138" t="inlineStr">
        <is>
          <t>https://whc.unesco.org/en/search/?searchterm=Shan+Hai+Jing+Chinese+Text+Project</t>
        </is>
      </c>
      <c r="AO138" t="inlineStr">
        <is>
          <t>1) Fact base: Chinese Text Project. 2) Translation/text: Chinese Text Project. 3) Images/objects: Met Collection. 4) Context/explanation: UNESCO. 5) Geography/maps: UNESCO. Use Suggested_Search_Term inside each portal.</t>
        </is>
      </c>
      <c r="AP138" t="inlineStr">
        <is>
          <t>Mixed: direct portal homepages plus search-result URLs where the portal exposes a public search endpoint.</t>
        </is>
      </c>
    </row>
    <row r="139">
      <c r="A139" s="2" t="n">
        <v>138</v>
      </c>
      <c r="B139" s="7" t="inlineStr">
        <is>
          <t>BCE_to_1AD</t>
        </is>
      </c>
      <c r="C139" s="2" t="inlineStr">
        <is>
          <t>China</t>
        </is>
      </c>
      <c r="D139" s="2" t="inlineStr">
        <is>
          <t>Ancient China</t>
        </is>
      </c>
      <c r="E139" s="2" t="n">
        <v>-300</v>
      </c>
      <c r="F139" s="2" t="n">
        <v>-250</v>
      </c>
      <c r="G139" s="2" t="inlineStr">
        <is>
          <t>c. 300 BCE to 250 BCE</t>
        </is>
      </c>
      <c r="H139" s="2" t="inlineStr">
        <is>
          <t>Guodian Bamboo Slips</t>
        </is>
      </c>
      <c r="I139" s="2" t="inlineStr">
        <is>
          <t>Manuscript corpus</t>
        </is>
      </c>
      <c r="J139" s="2" t="inlineStr">
        <is>
          <t>Excavated bamboo slips</t>
        </is>
      </c>
      <c r="K139" s="2" t="inlineStr">
        <is>
          <t>Philosophy</t>
        </is>
      </c>
      <c r="L139" s="2" t="inlineStr">
        <is>
          <t>Textual transmission</t>
        </is>
      </c>
      <c r="M139" s="2" t="inlineStr">
        <is>
          <t>China</t>
        </is>
      </c>
      <c r="N139" s="2" t="inlineStr">
        <is>
          <t>Chu cultural sphere</t>
        </is>
      </c>
      <c r="O139" s="2" t="inlineStr">
        <is>
          <t>Excavated manuscripts illuminating pre-imperial thought and transmission.</t>
        </is>
      </c>
      <c r="P139" s="2" t="inlineStr">
        <is>
          <t>Excellent material control for transmitted-text studies.</t>
        </is>
      </c>
      <c r="Q139" s="2" t="inlineStr">
        <is>
          <t>Low</t>
        </is>
      </c>
      <c r="R139" s="2" t="inlineStr">
        <is>
          <t>Partial</t>
        </is>
      </c>
      <c r="S139" s="2" t="inlineStr">
        <is>
          <t>Medium</t>
        </is>
      </c>
      <c r="T139" s="2" t="inlineStr">
        <is>
          <t>UNESCO</t>
        </is>
      </c>
      <c r="U139" s="8" t="inlineStr">
        <is>
          <t>https://whc.unesco.org/</t>
        </is>
      </c>
      <c r="V139" s="2" t="inlineStr">
        <is>
          <t>UNESCO</t>
        </is>
      </c>
      <c r="W139" s="8" t="inlineStr">
        <is>
          <t>https://whc.unesco.org/</t>
        </is>
      </c>
      <c r="X139" s="2" t="inlineStr">
        <is>
          <t>Met Collection</t>
        </is>
      </c>
      <c r="Y139" s="8" t="inlineStr">
        <is>
          <t>https://www.metmuseum.org/art/collection</t>
        </is>
      </c>
      <c r="Z139" s="2" t="inlineStr">
        <is>
          <t>UNESCO</t>
        </is>
      </c>
      <c r="AA139" s="8" t="inlineStr">
        <is>
          <t>https://whc.unesco.org/</t>
        </is>
      </c>
      <c r="AB139" s="2" t="inlineStr">
        <is>
          <t>UNESCO</t>
        </is>
      </c>
      <c r="AC139" s="8" t="inlineStr">
        <is>
          <t>https://whc.unesco.org/</t>
        </is>
      </c>
      <c r="AD139" s="2" t="inlineStr">
        <is>
          <t>Guodian slips</t>
        </is>
      </c>
      <c r="AE139" s="2" t="inlineStr">
        <is>
          <t>Use excavation reports and scholarly editions.</t>
        </is>
      </c>
      <c r="AF139" s="2" t="inlineStr">
        <is>
          <t>Manuscript culture; philosophy</t>
        </is>
      </c>
      <c r="AG139" s="2" t="inlineStr">
        <is>
          <t>Medium</t>
        </is>
      </c>
      <c r="AH139" s="2" t="inlineStr">
        <is>
          <t>Low</t>
        </is>
      </c>
      <c r="AI139" s="2" t="inlineStr"/>
      <c r="AJ139" t="inlineStr">
        <is>
          <t>https://whc.unesco.org/en/search/?searchterm=Guodian+slips</t>
        </is>
      </c>
      <c r="AK139" t="inlineStr">
        <is>
          <t>https://whc.unesco.org/en/search/?searchterm=Guodian+slips</t>
        </is>
      </c>
      <c r="AL139" t="inlineStr">
        <is>
          <t>https://www.metmuseum.org/art/collection</t>
        </is>
      </c>
      <c r="AM139" t="inlineStr">
        <is>
          <t>https://whc.unesco.org/en/search/?searchterm=Guodian+slips</t>
        </is>
      </c>
      <c r="AN139" t="inlineStr">
        <is>
          <t>https://whc.unesco.org/en/search/?searchterm=Guodian+slips</t>
        </is>
      </c>
      <c r="AO139" t="inlineStr">
        <is>
          <t>1) Fact base: UNESCO. 2) Translation/text: UNESCO. 3) Images/objects: Met Collection. 4) Context/explanation: UNESCO. 5) Geography/maps: UNESCO. Use Suggested_Search_Term inside each portal.</t>
        </is>
      </c>
      <c r="AP139" t="inlineStr">
        <is>
          <t>Mixed: direct portal homepages plus search-result URLs where the portal exposes a public search endpoint.</t>
        </is>
      </c>
    </row>
    <row r="140">
      <c r="A140" s="2" t="n">
        <v>139</v>
      </c>
      <c r="B140" s="7" t="inlineStr">
        <is>
          <t>BCE_to_1AD</t>
        </is>
      </c>
      <c r="C140" s="2" t="inlineStr">
        <is>
          <t>China</t>
        </is>
      </c>
      <c r="D140" s="2" t="inlineStr">
        <is>
          <t>Ancient China</t>
        </is>
      </c>
      <c r="E140" s="2" t="n">
        <v>-300</v>
      </c>
      <c r="F140" s="2" t="n">
        <v>-100</v>
      </c>
      <c r="G140" s="2" t="inlineStr">
        <is>
          <t>c. 300 BCE to 100 BCE</t>
        </is>
      </c>
      <c r="H140" s="2" t="inlineStr">
        <is>
          <t>Mawangdui Silk Texts and Maps</t>
        </is>
      </c>
      <c r="I140" s="2" t="inlineStr">
        <is>
          <t>Manuscript corpus</t>
        </is>
      </c>
      <c r="J140" s="2" t="inlineStr">
        <is>
          <t>Silk manuscripts</t>
        </is>
      </c>
      <c r="K140" s="2" t="inlineStr">
        <is>
          <t>Cosmology</t>
        </is>
      </c>
      <c r="L140" s="2" t="inlineStr">
        <is>
          <t>Cartography</t>
        </is>
      </c>
      <c r="M140" s="2" t="inlineStr">
        <is>
          <t>China</t>
        </is>
      </c>
      <c r="N140" s="2" t="inlineStr">
        <is>
          <t>Han tomb context</t>
        </is>
      </c>
      <c r="O140" s="2" t="inlineStr">
        <is>
          <t>Excavated silk texts, diagrams, and maps from Han tombs.</t>
        </is>
      </c>
      <c r="P140" s="2" t="inlineStr">
        <is>
          <t>Valuable for early cartography, body-cosmos diagrams, and manuscript practice.</t>
        </is>
      </c>
      <c r="Q140" s="2" t="inlineStr">
        <is>
          <t>Medium</t>
        </is>
      </c>
      <c r="R140" s="2" t="inlineStr">
        <is>
          <t>Partial</t>
        </is>
      </c>
      <c r="S140" s="2" t="inlineStr">
        <is>
          <t>High</t>
        </is>
      </c>
      <c r="T140" s="2" t="inlineStr">
        <is>
          <t>UNESCO</t>
        </is>
      </c>
      <c r="U140" s="8" t="inlineStr">
        <is>
          <t>https://whc.unesco.org/</t>
        </is>
      </c>
      <c r="V140" s="2" t="inlineStr">
        <is>
          <t>UNESCO</t>
        </is>
      </c>
      <c r="W140" s="8" t="inlineStr">
        <is>
          <t>https://whc.unesco.org/</t>
        </is>
      </c>
      <c r="X140" s="2" t="inlineStr">
        <is>
          <t>Met Collection</t>
        </is>
      </c>
      <c r="Y140" s="8" t="inlineStr">
        <is>
          <t>https://www.metmuseum.org/art/collection</t>
        </is>
      </c>
      <c r="Z140" s="2" t="inlineStr">
        <is>
          <t>UNESCO</t>
        </is>
      </c>
      <c r="AA140" s="8" t="inlineStr">
        <is>
          <t>https://whc.unesco.org/</t>
        </is>
      </c>
      <c r="AB140" s="2" t="inlineStr">
        <is>
          <t>UNESCO</t>
        </is>
      </c>
      <c r="AC140" s="8" t="inlineStr">
        <is>
          <t>https://whc.unesco.org/</t>
        </is>
      </c>
      <c r="AD140" s="2" t="inlineStr">
        <is>
          <t>Mawangdui maps</t>
        </is>
      </c>
      <c r="AE140" s="2" t="inlineStr">
        <is>
          <t>Some materials date just after the BCE/CE boundary in influence though tomb is BCE.</t>
        </is>
      </c>
      <c r="AF140" s="2" t="inlineStr">
        <is>
          <t>Maps; medicine; cosmology</t>
        </is>
      </c>
      <c r="AG140" s="2" t="inlineStr">
        <is>
          <t>High</t>
        </is>
      </c>
      <c r="AH140" s="2" t="inlineStr">
        <is>
          <t>High</t>
        </is>
      </c>
      <c r="AI140" s="2" t="inlineStr"/>
      <c r="AJ140" t="inlineStr">
        <is>
          <t>https://whc.unesco.org/en/search/?searchterm=Mawangdui+maps</t>
        </is>
      </c>
      <c r="AK140" t="inlineStr">
        <is>
          <t>https://whc.unesco.org/en/search/?searchterm=Mawangdui+maps</t>
        </is>
      </c>
      <c r="AL140" t="inlineStr">
        <is>
          <t>https://www.metmuseum.org/art/collection</t>
        </is>
      </c>
      <c r="AM140" t="inlineStr">
        <is>
          <t>https://whc.unesco.org/en/search/?searchterm=Mawangdui+maps</t>
        </is>
      </c>
      <c r="AN140" t="inlineStr">
        <is>
          <t>https://whc.unesco.org/en/search/?searchterm=Mawangdui+maps</t>
        </is>
      </c>
      <c r="AO140" t="inlineStr">
        <is>
          <t>1) Fact base: UNESCO. 2) Translation/text: UNESCO. 3) Images/objects: Met Collection. 4) Context/explanation: UNESCO. 5) Geography/maps: UNESCO. Use Suggested_Search_Term inside each portal.</t>
        </is>
      </c>
      <c r="AP140" t="inlineStr">
        <is>
          <t>Mixed: direct portal homepages plus search-result URLs where the portal exposes a public search endpoint.</t>
        </is>
      </c>
    </row>
    <row r="141">
      <c r="A141" s="2" t="n">
        <v>140</v>
      </c>
      <c r="B141" s="7" t="inlineStr">
        <is>
          <t>BCE_to_1AD</t>
        </is>
      </c>
      <c r="C141" s="2" t="inlineStr">
        <is>
          <t>China</t>
        </is>
      </c>
      <c r="D141" s="2" t="inlineStr">
        <is>
          <t>Ancient China</t>
        </is>
      </c>
      <c r="E141" s="2" t="n">
        <v>-220</v>
      </c>
      <c r="F141" s="2" t="n">
        <v>-210</v>
      </c>
      <c r="G141" s="2" t="inlineStr">
        <is>
          <t>c. 220 BCE to 210 BCE</t>
        </is>
      </c>
      <c r="H141" s="2" t="inlineStr">
        <is>
          <t>Terracotta Army</t>
        </is>
      </c>
      <c r="I141" s="2" t="inlineStr">
        <is>
          <t>Artifact corpus</t>
        </is>
      </c>
      <c r="J141" s="2" t="inlineStr">
        <is>
          <t>Funerary sculpture</t>
        </is>
      </c>
      <c r="K141" s="2" t="inlineStr">
        <is>
          <t>Kingship</t>
        </is>
      </c>
      <c r="L141" s="2" t="inlineStr">
        <is>
          <t>Afterlife army</t>
        </is>
      </c>
      <c r="M141" s="2" t="inlineStr">
        <is>
          <t>China</t>
        </is>
      </c>
      <c r="N141" s="2" t="inlineStr">
        <is>
          <t>Qin mausoleum</t>
        </is>
      </c>
      <c r="O141" s="2" t="inlineStr">
        <is>
          <t>Life-size funerary army guarding the tomb of the First Emperor.</t>
        </is>
      </c>
      <c r="P141" s="2" t="inlineStr">
        <is>
          <t>Often cited as evidence of extreme imperial scale and hidden complexes.</t>
        </is>
      </c>
      <c r="Q141" s="2" t="inlineStr">
        <is>
          <t>Medium</t>
        </is>
      </c>
      <c r="R141" s="2" t="inlineStr">
        <is>
          <t>Not applicable</t>
        </is>
      </c>
      <c r="S141" s="2" t="inlineStr">
        <is>
          <t>High</t>
        </is>
      </c>
      <c r="T141" s="2" t="inlineStr">
        <is>
          <t>UNESCO</t>
        </is>
      </c>
      <c r="U141" s="8" t="inlineStr">
        <is>
          <t>https://whc.unesco.org/</t>
        </is>
      </c>
      <c r="V141" s="2" t="inlineStr">
        <is>
          <t>UNESCO</t>
        </is>
      </c>
      <c r="W141" s="8" t="inlineStr">
        <is>
          <t>https://whc.unesco.org/</t>
        </is>
      </c>
      <c r="X141" s="2" t="inlineStr">
        <is>
          <t>Met Collection</t>
        </is>
      </c>
      <c r="Y141" s="8" t="inlineStr">
        <is>
          <t>https://www.metmuseum.org/art/collection</t>
        </is>
      </c>
      <c r="Z141" s="2" t="inlineStr">
        <is>
          <t>UNESCO</t>
        </is>
      </c>
      <c r="AA141" s="8" t="inlineStr">
        <is>
          <t>https://whc.unesco.org/</t>
        </is>
      </c>
      <c r="AB141" s="2" t="inlineStr">
        <is>
          <t>UNESCO</t>
        </is>
      </c>
      <c r="AC141" s="8" t="inlineStr">
        <is>
          <t>https://whc.unesco.org/</t>
        </is>
      </c>
      <c r="AD141" s="2" t="inlineStr">
        <is>
          <t>Terracotta Army</t>
        </is>
      </c>
      <c r="AE141" s="2" t="inlineStr">
        <is>
          <t>Keep focus on mausoleum context and manufacturing evidence.</t>
        </is>
      </c>
      <c r="AF141" s="2" t="inlineStr">
        <is>
          <t>Afterlife state; imperial engineering</t>
        </is>
      </c>
      <c r="AG141" s="2" t="inlineStr">
        <is>
          <t>High</t>
        </is>
      </c>
      <c r="AH141" s="2" t="inlineStr">
        <is>
          <t>High</t>
        </is>
      </c>
      <c r="AI141" s="2" t="inlineStr"/>
      <c r="AJ141" t="inlineStr">
        <is>
          <t>https://whc.unesco.org/en/search/?searchterm=Terracotta+Army</t>
        </is>
      </c>
      <c r="AK141" t="inlineStr">
        <is>
          <t>https://whc.unesco.org/en/search/?searchterm=Terracotta+Army</t>
        </is>
      </c>
      <c r="AL141" t="inlineStr">
        <is>
          <t>https://www.metmuseum.org/art/collection</t>
        </is>
      </c>
      <c r="AM141" t="inlineStr">
        <is>
          <t>https://whc.unesco.org/en/search/?searchterm=Terracotta+Army</t>
        </is>
      </c>
      <c r="AN141" t="inlineStr">
        <is>
          <t>https://whc.unesco.org/en/search/?searchterm=Terracotta+Army</t>
        </is>
      </c>
      <c r="AO141" t="inlineStr">
        <is>
          <t>1) Fact base: UNESCO. 2) Translation/text: UNESCO. 3) Images/objects: Met Collection. 4) Context/explanation: UNESCO. 5) Geography/maps: UNESCO. Use Suggested_Search_Term inside each portal.</t>
        </is>
      </c>
      <c r="AP141" t="inlineStr">
        <is>
          <t>Mixed: direct portal homepages plus search-result URLs where the portal exposes a public search endpoint.</t>
        </is>
      </c>
    </row>
    <row r="142">
      <c r="A142" s="2" t="n">
        <v>141</v>
      </c>
      <c r="B142" s="7" t="inlineStr">
        <is>
          <t>BCE_to_1AD</t>
        </is>
      </c>
      <c r="C142" s="2" t="inlineStr">
        <is>
          <t>China</t>
        </is>
      </c>
      <c r="D142" s="2" t="inlineStr">
        <is>
          <t>Ancient China</t>
        </is>
      </c>
      <c r="E142" s="2" t="n">
        <v>-1000</v>
      </c>
      <c r="F142" s="2" t="n">
        <v>-200</v>
      </c>
      <c r="G142" s="2" t="inlineStr">
        <is>
          <t>c. 1000 BCE to 200 BCE</t>
        </is>
      </c>
      <c r="H142" s="2" t="inlineStr">
        <is>
          <t>Yu the Great and flood-control tradition</t>
        </is>
      </c>
      <c r="I142" s="2" t="inlineStr">
        <is>
          <t>Legend / text cluster</t>
        </is>
      </c>
      <c r="J142" s="2" t="inlineStr">
        <is>
          <t>Later textual witnesses</t>
        </is>
      </c>
      <c r="K142" s="2" t="inlineStr">
        <is>
          <t>Flood</t>
        </is>
      </c>
      <c r="L142" s="2" t="inlineStr">
        <is>
          <t>Culture hero</t>
        </is>
      </c>
      <c r="M142" s="2" t="inlineStr">
        <is>
          <t>China</t>
        </is>
      </c>
      <c r="N142" s="2" t="inlineStr">
        <is>
          <t>Classical Chinese memory</t>
        </is>
      </c>
      <c r="O142" s="2" t="inlineStr">
        <is>
          <t>Tradition linking dynastic legitimacy to flood control and ordered landscape.</t>
        </is>
      </c>
      <c r="P142" s="2" t="inlineStr">
        <is>
          <t>Strong comparative material for culture-hero and catastrophe-control motifs.</t>
        </is>
      </c>
      <c r="Q142" s="2" t="inlineStr">
        <is>
          <t>High</t>
        </is>
      </c>
      <c r="R142" s="2" t="inlineStr">
        <is>
          <t>High</t>
        </is>
      </c>
      <c r="S142" s="2" t="inlineStr">
        <is>
          <t>Low</t>
        </is>
      </c>
      <c r="T142" s="2" t="inlineStr">
        <is>
          <t>UNESCO</t>
        </is>
      </c>
      <c r="U142" s="8" t="inlineStr">
        <is>
          <t>https://whc.unesco.org/</t>
        </is>
      </c>
      <c r="V142" s="2" t="inlineStr">
        <is>
          <t>UNESCO</t>
        </is>
      </c>
      <c r="W142" s="8" t="inlineStr">
        <is>
          <t>https://whc.unesco.org/</t>
        </is>
      </c>
      <c r="X142" s="2" t="inlineStr">
        <is>
          <t>Met Collection</t>
        </is>
      </c>
      <c r="Y142" s="8" t="inlineStr">
        <is>
          <t>https://www.metmuseum.org/art/collection</t>
        </is>
      </c>
      <c r="Z142" s="2" t="inlineStr">
        <is>
          <t>UNESCO</t>
        </is>
      </c>
      <c r="AA142" s="8" t="inlineStr">
        <is>
          <t>https://whc.unesco.org/</t>
        </is>
      </c>
      <c r="AB142" s="2" t="inlineStr">
        <is>
          <t>UNESCO</t>
        </is>
      </c>
      <c r="AC142" s="8" t="inlineStr">
        <is>
          <t>https://whc.unesco.org/</t>
        </is>
      </c>
      <c r="AD142" s="2" t="inlineStr">
        <is>
          <t>Yu the Great flood</t>
        </is>
      </c>
      <c r="AE142" s="2" t="inlineStr">
        <is>
          <t>Legendary-historical boundary is central here.</t>
        </is>
      </c>
      <c r="AF142" s="2" t="inlineStr">
        <is>
          <t>Flood taming; dynastic origins</t>
        </is>
      </c>
      <c r="AG142" s="2" t="inlineStr">
        <is>
          <t>High</t>
        </is>
      </c>
      <c r="AH142" s="2" t="inlineStr">
        <is>
          <t>High</t>
        </is>
      </c>
      <c r="AI142" s="2" t="inlineStr"/>
      <c r="AJ142" t="inlineStr">
        <is>
          <t>https://whc.unesco.org/en/search/?searchterm=Yu+the+Great+flood</t>
        </is>
      </c>
      <c r="AK142" t="inlineStr">
        <is>
          <t>https://whc.unesco.org/en/search/?searchterm=Yu+the+Great+flood</t>
        </is>
      </c>
      <c r="AL142" t="inlineStr">
        <is>
          <t>https://www.metmuseum.org/art/collection</t>
        </is>
      </c>
      <c r="AM142" t="inlineStr">
        <is>
          <t>https://whc.unesco.org/en/search/?searchterm=Yu+the+Great+flood</t>
        </is>
      </c>
      <c r="AN142" t="inlineStr">
        <is>
          <t>https://whc.unesco.org/en/search/?searchterm=Yu+the+Great+flood</t>
        </is>
      </c>
      <c r="AO142" t="inlineStr">
        <is>
          <t>1) Fact base: UNESCO. 2) Translation/text: UNESCO. 3) Images/objects: Met Collection. 4) Context/explanation: UNESCO. 5) Geography/maps: UNESCO. Use Suggested_Search_Term inside each portal.</t>
        </is>
      </c>
      <c r="AP142" t="inlineStr">
        <is>
          <t>Mixed: direct portal homepages plus search-result URLs where the portal exposes a public search endpoint.</t>
        </is>
      </c>
    </row>
    <row r="143">
      <c r="A143" s="2" t="n">
        <v>142</v>
      </c>
      <c r="B143" s="7" t="inlineStr">
        <is>
          <t>BCE_to_1AD</t>
        </is>
      </c>
      <c r="C143" s="2" t="inlineStr">
        <is>
          <t>Japan / Korea</t>
        </is>
      </c>
      <c r="D143" s="2" t="inlineStr">
        <is>
          <t>Japan and Korea</t>
        </is>
      </c>
      <c r="E143" s="2" t="n">
        <v>-3500</v>
      </c>
      <c r="F143" s="2" t="n">
        <v>-2000</v>
      </c>
      <c r="G143" s="2" t="inlineStr">
        <is>
          <t>c. 3500 BCE to 2000 BCE</t>
        </is>
      </c>
      <c r="H143" s="2" t="inlineStr">
        <is>
          <t>Sannai-Maruyama</t>
        </is>
      </c>
      <c r="I143" s="2" t="inlineStr">
        <is>
          <t>Site</t>
        </is>
      </c>
      <c r="J143" s="2" t="inlineStr">
        <is>
          <t>Archaeology</t>
        </is>
      </c>
      <c r="K143" s="2" t="inlineStr">
        <is>
          <t>Settlement</t>
        </is>
      </c>
      <c r="L143" s="2" t="inlineStr">
        <is>
          <t>Jomon</t>
        </is>
      </c>
      <c r="M143" s="2" t="inlineStr">
        <is>
          <t>Japan</t>
        </is>
      </c>
      <c r="N143" s="2" t="inlineStr">
        <is>
          <t>Aomori</t>
        </is>
      </c>
      <c r="O143" s="2" t="inlineStr">
        <is>
          <t>Large Jomon settlement with long houses, storage pits, and material culture.</t>
        </is>
      </c>
      <c r="P143" s="2" t="inlineStr">
        <is>
          <t>Important for complex hunter-gatherer and early sedentism discussions.</t>
        </is>
      </c>
      <c r="Q143" s="2" t="inlineStr">
        <is>
          <t>Medium</t>
        </is>
      </c>
      <c r="R143" s="2" t="inlineStr">
        <is>
          <t>Not applicable</t>
        </is>
      </c>
      <c r="S143" s="2" t="inlineStr">
        <is>
          <t>Medium</t>
        </is>
      </c>
      <c r="T143" s="2" t="inlineStr">
        <is>
          <t>UNESCO</t>
        </is>
      </c>
      <c r="U143" s="8" t="inlineStr">
        <is>
          <t>https://whc.unesco.org/</t>
        </is>
      </c>
      <c r="V143" s="2" t="inlineStr">
        <is>
          <t>Internet Archive</t>
        </is>
      </c>
      <c r="W143" s="8" t="inlineStr">
        <is>
          <t>https://archive.org/</t>
        </is>
      </c>
      <c r="X143" s="2" t="inlineStr">
        <is>
          <t>Met Collection</t>
        </is>
      </c>
      <c r="Y143" s="8" t="inlineStr">
        <is>
          <t>https://www.metmuseum.org/art/collection</t>
        </is>
      </c>
      <c r="Z143" s="2" t="inlineStr">
        <is>
          <t>UNESCO</t>
        </is>
      </c>
      <c r="AA143" s="8" t="inlineStr">
        <is>
          <t>https://whc.unesco.org/</t>
        </is>
      </c>
      <c r="AB143" s="2" t="inlineStr">
        <is>
          <t>UNESCO</t>
        </is>
      </c>
      <c r="AC143" s="8" t="inlineStr">
        <is>
          <t>https://whc.unesco.org/</t>
        </is>
      </c>
      <c r="AD143" s="2" t="inlineStr">
        <is>
          <t>Sannai Maruyama</t>
        </is>
      </c>
      <c r="AE143" s="2" t="inlineStr">
        <is>
          <t>A strong corrective to simplistic progress narratives.</t>
        </is>
      </c>
      <c r="AF143" s="2" t="inlineStr">
        <is>
          <t>Complex foragers; ritual space</t>
        </is>
      </c>
      <c r="AG143" s="2" t="inlineStr">
        <is>
          <t>Medium</t>
        </is>
      </c>
      <c r="AH143" s="2" t="inlineStr">
        <is>
          <t>Medium</t>
        </is>
      </c>
      <c r="AI143" s="2" t="inlineStr"/>
      <c r="AJ143" t="inlineStr">
        <is>
          <t>https://whc.unesco.org/en/search/?searchterm=Sannai+Maruyama</t>
        </is>
      </c>
      <c r="AK143" t="inlineStr">
        <is>
          <t>https://archive.org/search?query=Sannai+Maruyama</t>
        </is>
      </c>
      <c r="AL143" t="inlineStr">
        <is>
          <t>https://www.metmuseum.org/art/collection</t>
        </is>
      </c>
      <c r="AM143" t="inlineStr">
        <is>
          <t>https://whc.unesco.org/en/search/?searchterm=Sannai+Maruyama</t>
        </is>
      </c>
      <c r="AN143" t="inlineStr">
        <is>
          <t>https://whc.unesco.org/en/search/?searchterm=Sannai+Maruyama</t>
        </is>
      </c>
      <c r="AO143" t="inlineStr">
        <is>
          <t>1) Fact base: UNESCO. 2) Translation/text: Internet Archive. 3) Images/objects: Met Collection. 4) Context/explanation: UNESCO. 5) Geography/maps: UNESCO. Use Suggested_Search_Term inside each portal.</t>
        </is>
      </c>
      <c r="AP143" t="inlineStr">
        <is>
          <t>Mixed: direct portal homepages plus search-result URLs where the portal exposes a public search endpoint.</t>
        </is>
      </c>
    </row>
    <row r="144">
      <c r="A144" s="2" t="n">
        <v>143</v>
      </c>
      <c r="B144" s="7" t="inlineStr">
        <is>
          <t>BCE_to_1AD</t>
        </is>
      </c>
      <c r="C144" s="2" t="inlineStr">
        <is>
          <t>Japan / Korea</t>
        </is>
      </c>
      <c r="D144" s="2" t="inlineStr">
        <is>
          <t>Japan and Korea</t>
        </is>
      </c>
      <c r="E144" s="2" t="n">
        <v>-3000</v>
      </c>
      <c r="F144" s="2" t="n">
        <v>-1000</v>
      </c>
      <c r="G144" s="2" t="inlineStr">
        <is>
          <t>c. 3000 BCE to 1000 BCE</t>
        </is>
      </c>
      <c r="H144" s="2" t="inlineStr">
        <is>
          <t>Jomon Dogu Figurines</t>
        </is>
      </c>
      <c r="I144" s="2" t="inlineStr">
        <is>
          <t>Artifact corpus</t>
        </is>
      </c>
      <c r="J144" s="2" t="inlineStr">
        <is>
          <t>Ceramic figurines</t>
        </is>
      </c>
      <c r="K144" s="2" t="inlineStr">
        <is>
          <t>Ritual</t>
        </is>
      </c>
      <c r="L144" s="2" t="inlineStr">
        <is>
          <t>Embodiment</t>
        </is>
      </c>
      <c r="M144" s="2" t="inlineStr">
        <is>
          <t>Japan</t>
        </is>
      </c>
      <c r="N144" s="2" t="inlineStr">
        <is>
          <t>Jomon Japan</t>
        </is>
      </c>
      <c r="O144" s="2" t="inlineStr">
        <is>
          <t>Small figurines often interpreted in ritual or symbolic contexts.</t>
        </is>
      </c>
      <c r="P144" s="2" t="inlineStr">
        <is>
          <t>Frequently cited visually in ancient-astronaut style media.</t>
        </is>
      </c>
      <c r="Q144" s="2" t="inlineStr">
        <is>
          <t>High</t>
        </is>
      </c>
      <c r="R144" s="2" t="inlineStr">
        <is>
          <t>Not applicable</t>
        </is>
      </c>
      <c r="S144" s="2" t="inlineStr">
        <is>
          <t>High</t>
        </is>
      </c>
      <c r="T144" s="2" t="inlineStr">
        <is>
          <t>UNESCO</t>
        </is>
      </c>
      <c r="U144" s="8" t="inlineStr">
        <is>
          <t>https://whc.unesco.org/</t>
        </is>
      </c>
      <c r="V144" s="2" t="inlineStr">
        <is>
          <t>Internet Archive</t>
        </is>
      </c>
      <c r="W144" s="8" t="inlineStr">
        <is>
          <t>https://archive.org/</t>
        </is>
      </c>
      <c r="X144" s="2" t="inlineStr">
        <is>
          <t>Met Collection</t>
        </is>
      </c>
      <c r="Y144" s="8" t="inlineStr">
        <is>
          <t>https://www.metmuseum.org/art/collection</t>
        </is>
      </c>
      <c r="Z144" s="2" t="inlineStr">
        <is>
          <t>UNESCO</t>
        </is>
      </c>
      <c r="AA144" s="8" t="inlineStr">
        <is>
          <t>https://whc.unesco.org/</t>
        </is>
      </c>
      <c r="AB144" s="2" t="inlineStr">
        <is>
          <t>UNESCO</t>
        </is>
      </c>
      <c r="AC144" s="8" t="inlineStr">
        <is>
          <t>https://whc.unesco.org/</t>
        </is>
      </c>
      <c r="AD144" s="2" t="inlineStr">
        <is>
          <t>Jomon dogu</t>
        </is>
      </c>
      <c r="AE144" s="2" t="inlineStr">
        <is>
          <t>Interpretive caution is required; figurines are secure objects.</t>
        </is>
      </c>
      <c r="AF144" s="2" t="inlineStr">
        <is>
          <t>Figurines; embodiment; ritual</t>
        </is>
      </c>
      <c r="AG144" s="2" t="inlineStr">
        <is>
          <t>Medium</t>
        </is>
      </c>
      <c r="AH144" s="2" t="inlineStr">
        <is>
          <t>Medium</t>
        </is>
      </c>
      <c r="AI144" s="2" t="inlineStr"/>
      <c r="AJ144" t="inlineStr">
        <is>
          <t>https://whc.unesco.org/en/search/?searchterm=Jomon+dogu</t>
        </is>
      </c>
      <c r="AK144" t="inlineStr">
        <is>
          <t>https://archive.org/search?query=Jomon+dogu</t>
        </is>
      </c>
      <c r="AL144" t="inlineStr">
        <is>
          <t>https://www.metmuseum.org/art/collection</t>
        </is>
      </c>
      <c r="AM144" t="inlineStr">
        <is>
          <t>https://whc.unesco.org/en/search/?searchterm=Jomon+dogu</t>
        </is>
      </c>
      <c r="AN144" t="inlineStr">
        <is>
          <t>https://whc.unesco.org/en/search/?searchterm=Jomon+dogu</t>
        </is>
      </c>
      <c r="AO144" t="inlineStr">
        <is>
          <t>1) Fact base: UNESCO. 2) Translation/text: Internet Archive. 3) Images/objects: Met Collection. 4) Context/explanation: UNESCO. 5) Geography/maps: UNESCO. Use Suggested_Search_Term inside each portal.</t>
        </is>
      </c>
      <c r="AP144" t="inlineStr">
        <is>
          <t>Mixed: direct portal homepages plus search-result URLs where the portal exposes a public search endpoint.</t>
        </is>
      </c>
    </row>
    <row r="145">
      <c r="A145" s="2" t="n">
        <v>144</v>
      </c>
      <c r="B145" s="9" t="inlineStr">
        <is>
          <t>Later_witness_or_post_1AD_relevance</t>
        </is>
      </c>
      <c r="C145" s="2" t="inlineStr">
        <is>
          <t>Japan / Korea</t>
        </is>
      </c>
      <c r="D145" s="2" t="inlineStr">
        <is>
          <t>Japan and Korea</t>
        </is>
      </c>
      <c r="E145" s="2" t="n">
        <v>-300</v>
      </c>
      <c r="F145" s="2" t="n">
        <v>200</v>
      </c>
      <c r="G145" s="2" t="inlineStr">
        <is>
          <t>c. 300 BCE to 200 CE</t>
        </is>
      </c>
      <c r="H145" s="2" t="inlineStr">
        <is>
          <t>Yoshinogari</t>
        </is>
      </c>
      <c r="I145" s="2" t="inlineStr">
        <is>
          <t>Site</t>
        </is>
      </c>
      <c r="J145" s="2" t="inlineStr">
        <is>
          <t>Archaeology</t>
        </is>
      </c>
      <c r="K145" s="2" t="inlineStr">
        <is>
          <t>Settlement</t>
        </is>
      </c>
      <c r="L145" s="2" t="inlineStr">
        <is>
          <t>Yayoi complexity</t>
        </is>
      </c>
      <c r="M145" s="2" t="inlineStr">
        <is>
          <t>Japan</t>
        </is>
      </c>
      <c r="N145" s="2" t="inlineStr">
        <is>
          <t>Kyushu</t>
        </is>
      </c>
      <c r="O145" s="2" t="inlineStr">
        <is>
          <t>Moated Yayoi settlement with evidence for hierarchy and conflict.</t>
        </is>
      </c>
      <c r="P145" s="2" t="inlineStr">
        <is>
          <t>Useful for BCE/CE transition in Japanese social complexity.</t>
        </is>
      </c>
      <c r="Q145" s="2" t="inlineStr">
        <is>
          <t>Low</t>
        </is>
      </c>
      <c r="R145" s="2" t="inlineStr">
        <is>
          <t>Not applicable</t>
        </is>
      </c>
      <c r="S145" s="2" t="inlineStr">
        <is>
          <t>Medium</t>
        </is>
      </c>
      <c r="T145" s="2" t="inlineStr">
        <is>
          <t>UNESCO</t>
        </is>
      </c>
      <c r="U145" s="8" t="inlineStr">
        <is>
          <t>https://whc.unesco.org/</t>
        </is>
      </c>
      <c r="V145" s="2" t="inlineStr">
        <is>
          <t>Internet Archive</t>
        </is>
      </c>
      <c r="W145" s="8" t="inlineStr">
        <is>
          <t>https://archive.org/</t>
        </is>
      </c>
      <c r="X145" s="2" t="inlineStr">
        <is>
          <t>Met Collection</t>
        </is>
      </c>
      <c r="Y145" s="8" t="inlineStr">
        <is>
          <t>https://www.metmuseum.org/art/collection</t>
        </is>
      </c>
      <c r="Z145" s="2" t="inlineStr">
        <is>
          <t>UNESCO</t>
        </is>
      </c>
      <c r="AA145" s="8" t="inlineStr">
        <is>
          <t>https://whc.unesco.org/</t>
        </is>
      </c>
      <c r="AB145" s="2" t="inlineStr">
        <is>
          <t>UNESCO</t>
        </is>
      </c>
      <c r="AC145" s="8" t="inlineStr">
        <is>
          <t>https://whc.unesco.org/</t>
        </is>
      </c>
      <c r="AD145" s="2" t="inlineStr">
        <is>
          <t>Yoshinogari site</t>
        </is>
      </c>
      <c r="AE145" s="2" t="inlineStr">
        <is>
          <t>Some phases extend into CE.</t>
        </is>
      </c>
      <c r="AF145" s="2" t="inlineStr">
        <is>
          <t>Fortification; social complexity</t>
        </is>
      </c>
      <c r="AG145" s="2" t="inlineStr">
        <is>
          <t>Medium</t>
        </is>
      </c>
      <c r="AH145" s="2" t="inlineStr">
        <is>
          <t>Low</t>
        </is>
      </c>
      <c r="AI145" s="2" t="inlineStr"/>
      <c r="AJ145" t="inlineStr">
        <is>
          <t>https://whc.unesco.org/en/search/?searchterm=Yoshinogari+site</t>
        </is>
      </c>
      <c r="AK145" t="inlineStr">
        <is>
          <t>https://archive.org/search?query=Yoshinogari+site</t>
        </is>
      </c>
      <c r="AL145" t="inlineStr">
        <is>
          <t>https://www.metmuseum.org/art/collection</t>
        </is>
      </c>
      <c r="AM145" t="inlineStr">
        <is>
          <t>https://whc.unesco.org/en/search/?searchterm=Yoshinogari+site</t>
        </is>
      </c>
      <c r="AN145" t="inlineStr">
        <is>
          <t>https://whc.unesco.org/en/search/?searchterm=Yoshinogari+site</t>
        </is>
      </c>
      <c r="AO145" t="inlineStr">
        <is>
          <t>1) Fact base: UNESCO. 2) Translation/text: Internet Archive. 3) Images/objects: Met Collection. 4) Context/explanation: UNESCO. 5) Geography/maps: UNESCO. Use Suggested_Search_Term inside each portal.</t>
        </is>
      </c>
      <c r="AP145" t="inlineStr">
        <is>
          <t>Mixed: direct portal homepages plus search-result URLs where the portal exposes a public search endpoint.</t>
        </is>
      </c>
    </row>
    <row r="146">
      <c r="A146" s="2" t="n">
        <v>145</v>
      </c>
      <c r="B146" s="9" t="inlineStr">
        <is>
          <t>Later_witness_or_post_1AD_relevance</t>
        </is>
      </c>
      <c r="C146" s="2" t="inlineStr">
        <is>
          <t>Japan / Korea</t>
        </is>
      </c>
      <c r="D146" s="2" t="inlineStr">
        <is>
          <t>Japan and Korea</t>
        </is>
      </c>
      <c r="E146" s="2" t="n">
        <v>-400</v>
      </c>
      <c r="F146" s="2" t="n">
        <v>300</v>
      </c>
      <c r="G146" s="2" t="inlineStr">
        <is>
          <t>c. 400 BCE to 300 CE</t>
        </is>
      </c>
      <c r="H146" s="2" t="inlineStr">
        <is>
          <t>Dotaku Bronze Bells</t>
        </is>
      </c>
      <c r="I146" s="2" t="inlineStr">
        <is>
          <t>Artifact corpus</t>
        </is>
      </c>
      <c r="J146" s="2" t="inlineStr">
        <is>
          <t>Bronze objects</t>
        </is>
      </c>
      <c r="K146" s="2" t="inlineStr">
        <is>
          <t>Ritual</t>
        </is>
      </c>
      <c r="L146" s="2" t="inlineStr">
        <is>
          <t>Agrarian symbolism</t>
        </is>
      </c>
      <c r="M146" s="2" t="inlineStr">
        <is>
          <t>Japan</t>
        </is>
      </c>
      <c r="N146" s="2" t="inlineStr">
        <is>
          <t>Yayoi Japan</t>
        </is>
      </c>
      <c r="O146" s="2" t="inlineStr">
        <is>
          <t>Decorated bronze bells associated with ritual rather than practical use.</t>
        </is>
      </c>
      <c r="P146" s="2" t="inlineStr">
        <is>
          <t>Good object-level entry into Yayoi ritual life.</t>
        </is>
      </c>
      <c r="Q146" s="2" t="inlineStr">
        <is>
          <t>Low</t>
        </is>
      </c>
      <c r="R146" s="2" t="inlineStr">
        <is>
          <t>Not applicable</t>
        </is>
      </c>
      <c r="S146" s="2" t="inlineStr">
        <is>
          <t>High</t>
        </is>
      </c>
      <c r="T146" s="2" t="inlineStr">
        <is>
          <t>UNESCO</t>
        </is>
      </c>
      <c r="U146" s="8" t="inlineStr">
        <is>
          <t>https://whc.unesco.org/</t>
        </is>
      </c>
      <c r="V146" s="2" t="inlineStr">
        <is>
          <t>Internet Archive</t>
        </is>
      </c>
      <c r="W146" s="8" t="inlineStr">
        <is>
          <t>https://archive.org/</t>
        </is>
      </c>
      <c r="X146" s="2" t="inlineStr">
        <is>
          <t>Met Collection</t>
        </is>
      </c>
      <c r="Y146" s="8" t="inlineStr">
        <is>
          <t>https://www.metmuseum.org/art/collection</t>
        </is>
      </c>
      <c r="Z146" s="2" t="inlineStr">
        <is>
          <t>UNESCO</t>
        </is>
      </c>
      <c r="AA146" s="8" t="inlineStr">
        <is>
          <t>https://whc.unesco.org/</t>
        </is>
      </c>
      <c r="AB146" s="2" t="inlineStr">
        <is>
          <t>UNESCO</t>
        </is>
      </c>
      <c r="AC146" s="8" t="inlineStr">
        <is>
          <t>https://whc.unesco.org/</t>
        </is>
      </c>
      <c r="AD146" s="2" t="inlineStr">
        <is>
          <t>Dotaku bronze bells</t>
        </is>
      </c>
      <c r="AE146" s="2" t="inlineStr">
        <is>
          <t>Context of deposition matters.</t>
        </is>
      </c>
      <c r="AF146" s="2" t="inlineStr">
        <is>
          <t>Ritual sound; agriculture</t>
        </is>
      </c>
      <c r="AG146" s="2" t="inlineStr">
        <is>
          <t>Medium</t>
        </is>
      </c>
      <c r="AH146" s="2" t="inlineStr">
        <is>
          <t>Low</t>
        </is>
      </c>
      <c r="AI146" s="2" t="inlineStr"/>
      <c r="AJ146" t="inlineStr">
        <is>
          <t>https://whc.unesco.org/en/search/?searchterm=Dotaku+bronze+bells</t>
        </is>
      </c>
      <c r="AK146" t="inlineStr">
        <is>
          <t>https://archive.org/search?query=Dotaku+bronze+bells</t>
        </is>
      </c>
      <c r="AL146" t="inlineStr">
        <is>
          <t>https://www.metmuseum.org/art/collection</t>
        </is>
      </c>
      <c r="AM146" t="inlineStr">
        <is>
          <t>https://whc.unesco.org/en/search/?searchterm=Dotaku+bronze+bells</t>
        </is>
      </c>
      <c r="AN146" t="inlineStr">
        <is>
          <t>https://whc.unesco.org/en/search/?searchterm=Dotaku+bronze+bells</t>
        </is>
      </c>
      <c r="AO146" t="inlineStr">
        <is>
          <t>1) Fact base: UNESCO. 2) Translation/text: Internet Archive. 3) Images/objects: Met Collection. 4) Context/explanation: UNESCO. 5) Geography/maps: UNESCO. Use Suggested_Search_Term inside each portal.</t>
        </is>
      </c>
      <c r="AP146" t="inlineStr">
        <is>
          <t>Mixed: direct portal homepages plus search-result URLs where the portal exposes a public search endpoint.</t>
        </is>
      </c>
    </row>
    <row r="147">
      <c r="A147" s="2" t="n">
        <v>146</v>
      </c>
      <c r="B147" s="7" t="inlineStr">
        <is>
          <t>BCE_to_1AD</t>
        </is>
      </c>
      <c r="C147" s="2" t="inlineStr">
        <is>
          <t>Japan / Korea</t>
        </is>
      </c>
      <c r="D147" s="2" t="inlineStr">
        <is>
          <t>Japan and Korea</t>
        </is>
      </c>
      <c r="E147" s="2" t="n">
        <v>-500</v>
      </c>
      <c r="F147" s="2" t="n">
        <v>-100</v>
      </c>
      <c r="G147" s="2" t="inlineStr">
        <is>
          <t>c. 500 BCE to 100 BCE</t>
        </is>
      </c>
      <c r="H147" s="2" t="inlineStr">
        <is>
          <t>Gojoseon bronze dagger culture</t>
        </is>
      </c>
      <c r="I147" s="2" t="inlineStr">
        <is>
          <t>Culture / artifact corpus</t>
        </is>
      </c>
      <c r="J147" s="2" t="inlineStr">
        <is>
          <t>Archaeology</t>
        </is>
      </c>
      <c r="K147" s="2" t="inlineStr">
        <is>
          <t>State origins</t>
        </is>
      </c>
      <c r="L147" s="2" t="inlineStr">
        <is>
          <t>Bronze technology</t>
        </is>
      </c>
      <c r="M147" s="2" t="inlineStr">
        <is>
          <t>Korea</t>
        </is>
      </c>
      <c r="N147" s="2" t="inlineStr">
        <is>
          <t>Korean peninsula</t>
        </is>
      </c>
      <c r="O147" s="2" t="inlineStr">
        <is>
          <t>Material culture often tied to early Korean polities and elite burials.</t>
        </is>
      </c>
      <c r="P147" s="2" t="inlineStr">
        <is>
          <t>Important for Korean pre-imperial complexity.</t>
        </is>
      </c>
      <c r="Q147" s="2" t="inlineStr">
        <is>
          <t>Low</t>
        </is>
      </c>
      <c r="R147" s="2" t="inlineStr">
        <is>
          <t>Not applicable</t>
        </is>
      </c>
      <c r="S147" s="2" t="inlineStr">
        <is>
          <t>Medium</t>
        </is>
      </c>
      <c r="T147" s="2" t="inlineStr">
        <is>
          <t>UNESCO</t>
        </is>
      </c>
      <c r="U147" s="8" t="inlineStr">
        <is>
          <t>https://whc.unesco.org/</t>
        </is>
      </c>
      <c r="V147" s="2" t="inlineStr">
        <is>
          <t>Internet Archive</t>
        </is>
      </c>
      <c r="W147" s="8" t="inlineStr">
        <is>
          <t>https://archive.org/</t>
        </is>
      </c>
      <c r="X147" s="2" t="inlineStr">
        <is>
          <t>Met Collection</t>
        </is>
      </c>
      <c r="Y147" s="8" t="inlineStr">
        <is>
          <t>https://www.metmuseum.org/art/collection</t>
        </is>
      </c>
      <c r="Z147" s="2" t="inlineStr">
        <is>
          <t>UNESCO</t>
        </is>
      </c>
      <c r="AA147" s="8" t="inlineStr">
        <is>
          <t>https://whc.unesco.org/</t>
        </is>
      </c>
      <c r="AB147" s="2" t="inlineStr">
        <is>
          <t>UNESCO</t>
        </is>
      </c>
      <c r="AC147" s="8" t="inlineStr">
        <is>
          <t>https://whc.unesco.org/</t>
        </is>
      </c>
      <c r="AD147" s="2" t="inlineStr">
        <is>
          <t>Korean bronze dagger culture</t>
        </is>
      </c>
      <c r="AE147" s="2" t="inlineStr">
        <is>
          <t>Historical linkage to Gojoseon traditions remains interpretive.</t>
        </is>
      </c>
      <c r="AF147" s="2" t="inlineStr">
        <is>
          <t>State origins; metallurgy</t>
        </is>
      </c>
      <c r="AG147" s="2" t="inlineStr">
        <is>
          <t>Low</t>
        </is>
      </c>
      <c r="AH147" s="2" t="inlineStr">
        <is>
          <t>Low</t>
        </is>
      </c>
      <c r="AI147" s="2" t="inlineStr"/>
      <c r="AJ147" t="inlineStr">
        <is>
          <t>https://whc.unesco.org/en/search/?searchterm=Korean+bronze+dagger+culture</t>
        </is>
      </c>
      <c r="AK147" t="inlineStr">
        <is>
          <t>https://archive.org/search?query=Korean+bronze+dagger+culture</t>
        </is>
      </c>
      <c r="AL147" t="inlineStr">
        <is>
          <t>https://www.metmuseum.org/art/collection</t>
        </is>
      </c>
      <c r="AM147" t="inlineStr">
        <is>
          <t>https://whc.unesco.org/en/search/?searchterm=Korean+bronze+dagger+culture</t>
        </is>
      </c>
      <c r="AN147" t="inlineStr">
        <is>
          <t>https://whc.unesco.org/en/search/?searchterm=Korean+bronze+dagger+culture</t>
        </is>
      </c>
      <c r="AO147" t="inlineStr">
        <is>
          <t>1) Fact base: UNESCO. 2) Translation/text: Internet Archive. 3) Images/objects: Met Collection. 4) Context/explanation: UNESCO. 5) Geography/maps: UNESCO. Use Suggested_Search_Term inside each portal.</t>
        </is>
      </c>
      <c r="AP147" t="inlineStr">
        <is>
          <t>Mixed: direct portal homepages plus search-result URLs where the portal exposes a public search endpoint.</t>
        </is>
      </c>
    </row>
    <row r="148">
      <c r="A148" s="2" t="n">
        <v>147</v>
      </c>
      <c r="B148" s="9" t="inlineStr">
        <is>
          <t>Later_witness_or_post_1AD_relevance</t>
        </is>
      </c>
      <c r="C148" s="2" t="inlineStr">
        <is>
          <t>Japan / Korea</t>
        </is>
      </c>
      <c r="D148" s="2" t="inlineStr">
        <is>
          <t>Japan and Korea</t>
        </is>
      </c>
      <c r="E148" s="2" t="n">
        <v>-1000</v>
      </c>
      <c r="F148" s="2" t="n">
        <v>1200</v>
      </c>
      <c r="G148" s="2" t="inlineStr">
        <is>
          <t>c. 1000 BCE to 1200 CE</t>
        </is>
      </c>
      <c r="H148" s="2" t="inlineStr">
        <is>
          <t>Tan'gun founding tradition</t>
        </is>
      </c>
      <c r="I148" s="2" t="inlineStr">
        <is>
          <t>Legend / later witness</t>
        </is>
      </c>
      <c r="J148" s="2" t="inlineStr">
        <is>
          <t>Later textual witness to earlier identity myth</t>
        </is>
      </c>
      <c r="K148" s="2" t="inlineStr">
        <is>
          <t>Creation</t>
        </is>
      </c>
      <c r="L148" s="2" t="inlineStr">
        <is>
          <t>Founding ancestor</t>
        </is>
      </c>
      <c r="M148" s="2" t="inlineStr">
        <is>
          <t>Korea</t>
        </is>
      </c>
      <c r="N148" s="2" t="inlineStr">
        <is>
          <t>Korean peninsula</t>
        </is>
      </c>
      <c r="O148" s="2" t="inlineStr">
        <is>
          <t>Origin myth of Tan'gun as founder of first Korean polity, preserved in later compilations.</t>
        </is>
      </c>
      <c r="P148" s="2" t="inlineStr">
        <is>
          <t>Relevant as a later witness to earlier identity and mountain-heaven motifs.</t>
        </is>
      </c>
      <c r="Q148" s="2" t="inlineStr">
        <is>
          <t>Medium</t>
        </is>
      </c>
      <c r="R148" s="2" t="inlineStr">
        <is>
          <t>Partial</t>
        </is>
      </c>
      <c r="S148" s="2" t="inlineStr">
        <is>
          <t>Low</t>
        </is>
      </c>
      <c r="T148" s="2" t="inlineStr">
        <is>
          <t>UNESCO</t>
        </is>
      </c>
      <c r="U148" s="8" t="inlineStr">
        <is>
          <t>https://whc.unesco.org/</t>
        </is>
      </c>
      <c r="V148" s="2" t="inlineStr">
        <is>
          <t>Internet Archive</t>
        </is>
      </c>
      <c r="W148" s="8" t="inlineStr">
        <is>
          <t>https://archive.org/</t>
        </is>
      </c>
      <c r="X148" s="2" t="inlineStr">
        <is>
          <t>Met Collection</t>
        </is>
      </c>
      <c r="Y148" s="8" t="inlineStr">
        <is>
          <t>https://www.metmuseum.org/art/collection</t>
        </is>
      </c>
      <c r="Z148" s="2" t="inlineStr">
        <is>
          <t>UNESCO</t>
        </is>
      </c>
      <c r="AA148" s="8" t="inlineStr">
        <is>
          <t>https://whc.unesco.org/</t>
        </is>
      </c>
      <c r="AB148" s="2" t="inlineStr">
        <is>
          <t>UNESCO</t>
        </is>
      </c>
      <c r="AC148" s="8" t="inlineStr">
        <is>
          <t>https://whc.unesco.org/</t>
        </is>
      </c>
      <c r="AD148" s="2" t="inlineStr">
        <is>
          <t>Tangun legend</t>
        </is>
      </c>
      <c r="AE148" s="2" t="inlineStr">
        <is>
          <t>Later textual witness; not a BCE manuscript.</t>
        </is>
      </c>
      <c r="AF148" s="2" t="inlineStr">
        <is>
          <t>Founding ancestor; sacred mountain</t>
        </is>
      </c>
      <c r="AG148" s="2" t="inlineStr">
        <is>
          <t>Medium</t>
        </is>
      </c>
      <c r="AH148" s="2" t="inlineStr">
        <is>
          <t>Medium</t>
        </is>
      </c>
      <c r="AI148" s="2" t="inlineStr"/>
      <c r="AJ148" t="inlineStr">
        <is>
          <t>https://whc.unesco.org/en/search/?searchterm=Tangun+legend</t>
        </is>
      </c>
      <c r="AK148" t="inlineStr">
        <is>
          <t>https://archive.org/search?query=Tangun+legend</t>
        </is>
      </c>
      <c r="AL148" t="inlineStr">
        <is>
          <t>https://www.metmuseum.org/art/collection</t>
        </is>
      </c>
      <c r="AM148" t="inlineStr">
        <is>
          <t>https://whc.unesco.org/en/search/?searchterm=Tangun+legend</t>
        </is>
      </c>
      <c r="AN148" t="inlineStr">
        <is>
          <t>https://whc.unesco.org/en/search/?searchterm=Tangun+legend</t>
        </is>
      </c>
      <c r="AO148" t="inlineStr">
        <is>
          <t>1) Fact base: UNESCO. 2) Translation/text: Internet Archive. 3) Images/objects: Met Collection. 4) Context/explanation: UNESCO. 5) Geography/maps: UNESCO. Use Suggested_Search_Term inside each portal.</t>
        </is>
      </c>
      <c r="AP148" t="inlineStr">
        <is>
          <t>Mixed: direct portal homepages plus search-result URLs where the portal exposes a public search endpoint.</t>
        </is>
      </c>
    </row>
    <row r="149">
      <c r="A149" s="2" t="n">
        <v>148</v>
      </c>
      <c r="B149" s="9" t="inlineStr">
        <is>
          <t>Later_witness_or_post_1AD_relevance</t>
        </is>
      </c>
      <c r="C149" s="2" t="inlineStr">
        <is>
          <t>Japan / Korea</t>
        </is>
      </c>
      <c r="D149" s="2" t="inlineStr">
        <is>
          <t>Japan and Korea</t>
        </is>
      </c>
      <c r="E149" s="2" t="n">
        <v>-1000</v>
      </c>
      <c r="F149" s="2" t="n">
        <v>1900</v>
      </c>
      <c r="G149" s="2" t="inlineStr">
        <is>
          <t>c. 1000 BCE to 1900 CE</t>
        </is>
      </c>
      <c r="H149" s="2" t="inlineStr">
        <is>
          <t>Ainu oral traditions</t>
        </is>
      </c>
      <c r="I149" s="2" t="inlineStr">
        <is>
          <t>Oral tradition</t>
        </is>
      </c>
      <c r="J149" s="2" t="inlineStr">
        <is>
          <t>Ethnographic recording of older traditions</t>
        </is>
      </c>
      <c r="K149" s="2" t="inlineStr">
        <is>
          <t>Origins</t>
        </is>
      </c>
      <c r="L149" s="2" t="inlineStr">
        <is>
          <t>Spirit worlds</t>
        </is>
      </c>
      <c r="M149" s="2" t="inlineStr">
        <is>
          <t>Japan</t>
        </is>
      </c>
      <c r="N149" s="2" t="inlineStr">
        <is>
          <t>Hokkaido / north Japan</t>
        </is>
      </c>
      <c r="O149" s="2" t="inlineStr">
        <is>
          <t>Oral traditions preserving cosmology, animal-human relations, and sacred landscapes.</t>
        </is>
      </c>
      <c r="P149" s="2" t="inlineStr">
        <is>
          <t>Useful for long-duration northern oral memory, though written recording is late.</t>
        </is>
      </c>
      <c r="Q149" s="2" t="inlineStr">
        <is>
          <t>Low</t>
        </is>
      </c>
      <c r="R149" s="2" t="inlineStr">
        <is>
          <t>Partial</t>
        </is>
      </c>
      <c r="S149" s="2" t="inlineStr">
        <is>
          <t>Low</t>
        </is>
      </c>
      <c r="T149" s="2" t="inlineStr">
        <is>
          <t>UNESCO</t>
        </is>
      </c>
      <c r="U149" s="8" t="inlineStr">
        <is>
          <t>https://whc.unesco.org/</t>
        </is>
      </c>
      <c r="V149" s="2" t="inlineStr">
        <is>
          <t>Internet Archive</t>
        </is>
      </c>
      <c r="W149" s="8" t="inlineStr">
        <is>
          <t>https://archive.org/</t>
        </is>
      </c>
      <c r="X149" s="2" t="inlineStr">
        <is>
          <t>Met Collection</t>
        </is>
      </c>
      <c r="Y149" s="8" t="inlineStr">
        <is>
          <t>https://www.metmuseum.org/art/collection</t>
        </is>
      </c>
      <c r="Z149" s="2" t="inlineStr">
        <is>
          <t>UNESCO</t>
        </is>
      </c>
      <c r="AA149" s="8" t="inlineStr">
        <is>
          <t>https://whc.unesco.org/</t>
        </is>
      </c>
      <c r="AB149" s="2" t="inlineStr">
        <is>
          <t>UNESCO</t>
        </is>
      </c>
      <c r="AC149" s="8" t="inlineStr">
        <is>
          <t>https://whc.unesco.org/</t>
        </is>
      </c>
      <c r="AD149" s="2" t="inlineStr">
        <is>
          <t>Ainu oral tradition archive</t>
        </is>
      </c>
      <c r="AE149" s="2" t="inlineStr">
        <is>
          <t>Treat as recorded much later than tradition depth.</t>
        </is>
      </c>
      <c r="AF149" s="2" t="inlineStr">
        <is>
          <t>Spirit beings; landscape memory</t>
        </is>
      </c>
      <c r="AG149" s="2" t="inlineStr">
        <is>
          <t>Low</t>
        </is>
      </c>
      <c r="AH149" s="2" t="inlineStr">
        <is>
          <t>Medium</t>
        </is>
      </c>
      <c r="AI149" s="2" t="inlineStr"/>
      <c r="AJ149" t="inlineStr">
        <is>
          <t>https://whc.unesco.org/en/search/?searchterm=Ainu+oral+tradition+archive</t>
        </is>
      </c>
      <c r="AK149" t="inlineStr">
        <is>
          <t>https://archive.org/search?query=Ainu+oral+tradition+archive</t>
        </is>
      </c>
      <c r="AL149" t="inlineStr">
        <is>
          <t>https://www.metmuseum.org/art/collection</t>
        </is>
      </c>
      <c r="AM149" t="inlineStr">
        <is>
          <t>https://whc.unesco.org/en/search/?searchterm=Ainu+oral+tradition+archive</t>
        </is>
      </c>
      <c r="AN149" t="inlineStr">
        <is>
          <t>https://whc.unesco.org/en/search/?searchterm=Ainu+oral+tradition+archive</t>
        </is>
      </c>
      <c r="AO149" t="inlineStr">
        <is>
          <t>1) Fact base: UNESCO. 2) Translation/text: Internet Archive. 3) Images/objects: Met Collection. 4) Context/explanation: UNESCO. 5) Geography/maps: UNESCO. Use Suggested_Search_Term inside each portal.</t>
        </is>
      </c>
      <c r="AP149" t="inlineStr">
        <is>
          <t>Mixed: direct portal homepages plus search-result URLs where the portal exposes a public search endpoint.</t>
        </is>
      </c>
    </row>
    <row r="150">
      <c r="A150" s="2" t="n">
        <v>149</v>
      </c>
      <c r="B150" s="7" t="inlineStr">
        <is>
          <t>BCE_to_1AD</t>
        </is>
      </c>
      <c r="C150" s="2" t="inlineStr">
        <is>
          <t>Aegean / Greece / Italy</t>
        </is>
      </c>
      <c r="D150" s="2" t="inlineStr">
        <is>
          <t>Mediterranean classical traditions</t>
        </is>
      </c>
      <c r="E150" s="2" t="n">
        <v>-2000</v>
      </c>
      <c r="F150" s="2" t="n">
        <v>-1400</v>
      </c>
      <c r="G150" s="2" t="inlineStr">
        <is>
          <t>c. 2000 BCE to 1400 BCE</t>
        </is>
      </c>
      <c r="H150" s="2" t="inlineStr">
        <is>
          <t>Knossos</t>
        </is>
      </c>
      <c r="I150" s="2" t="inlineStr">
        <is>
          <t>Site</t>
        </is>
      </c>
      <c r="J150" s="2" t="inlineStr">
        <is>
          <t>Archaeology</t>
        </is>
      </c>
      <c r="K150" s="2" t="inlineStr">
        <is>
          <t>Palace</t>
        </is>
      </c>
      <c r="L150" s="2" t="inlineStr">
        <is>
          <t>Minoan religion</t>
        </is>
      </c>
      <c r="M150" s="2" t="inlineStr">
        <is>
          <t>Greece</t>
        </is>
      </c>
      <c r="N150" s="2" t="inlineStr">
        <is>
          <t>Crete</t>
        </is>
      </c>
      <c r="O150" s="2" t="inlineStr">
        <is>
          <t>Major Minoan palace center with storerooms, frescoes, and ritual spaces.</t>
        </is>
      </c>
      <c r="P150" s="2" t="inlineStr">
        <is>
          <t>Central to Aegean civilization and diffusion debates.</t>
        </is>
      </c>
      <c r="Q150" s="2" t="inlineStr">
        <is>
          <t>High</t>
        </is>
      </c>
      <c r="R150" s="2" t="inlineStr">
        <is>
          <t>Not applicable</t>
        </is>
      </c>
      <c r="S150" s="2" t="inlineStr">
        <is>
          <t>High</t>
        </is>
      </c>
      <c r="T150" s="2" t="inlineStr">
        <is>
          <t>UNESCO</t>
        </is>
      </c>
      <c r="U150" s="8" t="inlineStr">
        <is>
          <t>https://whc.unesco.org/</t>
        </is>
      </c>
      <c r="V150" s="2" t="inlineStr">
        <is>
          <t>UNESCO</t>
        </is>
      </c>
      <c r="W150" s="8" t="inlineStr">
        <is>
          <t>https://whc.unesco.org/</t>
        </is>
      </c>
      <c r="X150" s="2" t="inlineStr">
        <is>
          <t>British Museum Collection</t>
        </is>
      </c>
      <c r="Y150" s="8" t="inlineStr">
        <is>
          <t>https://www.britishmuseum.org/collection</t>
        </is>
      </c>
      <c r="Z150" s="2" t="inlineStr">
        <is>
          <t>UNESCO</t>
        </is>
      </c>
      <c r="AA150" s="8" t="inlineStr">
        <is>
          <t>https://whc.unesco.org/</t>
        </is>
      </c>
      <c r="AB150" s="2" t="inlineStr">
        <is>
          <t>Pleiades</t>
        </is>
      </c>
      <c r="AC150" s="8" t="inlineStr">
        <is>
          <t>https://pleiades.stoa.org/</t>
        </is>
      </c>
      <c r="AD150" s="2" t="inlineStr">
        <is>
          <t>Knossos archaeology</t>
        </is>
      </c>
      <c r="AE150" s="2" t="inlineStr">
        <is>
          <t>Evans-era reconstructions should be checked against later archaeology.</t>
        </is>
      </c>
      <c r="AF150" s="2" t="inlineStr">
        <is>
          <t>Palace ritual; bull iconography</t>
        </is>
      </c>
      <c r="AG150" s="2" t="inlineStr">
        <is>
          <t>Critical</t>
        </is>
      </c>
      <c r="AH150" s="2" t="inlineStr">
        <is>
          <t>High</t>
        </is>
      </c>
      <c r="AI150" s="2" t="inlineStr"/>
      <c r="AJ150" t="inlineStr">
        <is>
          <t>https://whc.unesco.org/en/search/?searchterm=Knossos+archaeology</t>
        </is>
      </c>
      <c r="AK150" t="inlineStr">
        <is>
          <t>https://whc.unesco.org/en/search/?searchterm=Knossos+archaeology</t>
        </is>
      </c>
      <c r="AL150" t="inlineStr">
        <is>
          <t>https://www.britishmuseum.org/collection/search?keyword=Knossos+archaeology</t>
        </is>
      </c>
      <c r="AM150" t="inlineStr">
        <is>
          <t>https://whc.unesco.org/en/search/?searchterm=Knossos+archaeology</t>
        </is>
      </c>
      <c r="AN150" t="inlineStr">
        <is>
          <t>https://pleiades.stoa.org/search?SearchableText=Knossos+archaeology</t>
        </is>
      </c>
      <c r="AO150" t="inlineStr">
        <is>
          <t>1) Fact base: UNESCO. 2) Translation/text: UNESCO. 3) Images/objects: British Museum Collection. 4) Context/explanation: UNESCO. 5) Geography/maps: Pleiades. Use Suggested_Search_Term inside each portal.</t>
        </is>
      </c>
      <c r="AP150" t="inlineStr">
        <is>
          <t>Mixed: direct portal homepages plus search-result URLs where the portal exposes a public search endpoint.</t>
        </is>
      </c>
    </row>
    <row r="151">
      <c r="A151" s="2" t="n">
        <v>150</v>
      </c>
      <c r="B151" s="7" t="inlineStr">
        <is>
          <t>BCE_to_1AD</t>
        </is>
      </c>
      <c r="C151" s="2" t="inlineStr">
        <is>
          <t>Aegean / Greece / Italy</t>
        </is>
      </c>
      <c r="D151" s="2" t="inlineStr">
        <is>
          <t>Mediterranean classical traditions</t>
        </is>
      </c>
      <c r="E151" s="2" t="n">
        <v>-1800</v>
      </c>
      <c r="F151" s="2" t="n">
        <v>-1450</v>
      </c>
      <c r="G151" s="2" t="inlineStr">
        <is>
          <t>c. 1800 BCE to 1450 BCE</t>
        </is>
      </c>
      <c r="H151" s="2" t="inlineStr">
        <is>
          <t>Phaistos</t>
        </is>
      </c>
      <c r="I151" s="2" t="inlineStr">
        <is>
          <t>Site</t>
        </is>
      </c>
      <c r="J151" s="2" t="inlineStr">
        <is>
          <t>Archaeology</t>
        </is>
      </c>
      <c r="K151" s="2" t="inlineStr">
        <is>
          <t>Palace</t>
        </is>
      </c>
      <c r="L151" s="2" t="inlineStr">
        <is>
          <t>Minoan culture</t>
        </is>
      </c>
      <c r="M151" s="2" t="inlineStr">
        <is>
          <t>Greece</t>
        </is>
      </c>
      <c r="N151" s="2" t="inlineStr">
        <is>
          <t>Crete</t>
        </is>
      </c>
      <c r="O151" s="2" t="inlineStr">
        <is>
          <t>Important Minoan palatial site and provenience of the Phaistos Disk.</t>
        </is>
      </c>
      <c r="P151" s="2" t="inlineStr">
        <is>
          <t>Useful companion site to Knossos and the Disk debates.</t>
        </is>
      </c>
      <c r="Q151" s="2" t="inlineStr">
        <is>
          <t>Medium</t>
        </is>
      </c>
      <c r="R151" s="2" t="inlineStr">
        <is>
          <t>Not applicable</t>
        </is>
      </c>
      <c r="S151" s="2" t="inlineStr">
        <is>
          <t>Medium</t>
        </is>
      </c>
      <c r="T151" s="2" t="inlineStr">
        <is>
          <t>UNESCO</t>
        </is>
      </c>
      <c r="U151" s="8" t="inlineStr">
        <is>
          <t>https://whc.unesco.org/</t>
        </is>
      </c>
      <c r="V151" s="2" t="inlineStr">
        <is>
          <t>UNESCO</t>
        </is>
      </c>
      <c r="W151" s="8" t="inlineStr">
        <is>
          <t>https://whc.unesco.org/</t>
        </is>
      </c>
      <c r="X151" s="2" t="inlineStr">
        <is>
          <t>British Museum Collection</t>
        </is>
      </c>
      <c r="Y151" s="8" t="inlineStr">
        <is>
          <t>https://www.britishmuseum.org/collection</t>
        </is>
      </c>
      <c r="Z151" s="2" t="inlineStr">
        <is>
          <t>UNESCO</t>
        </is>
      </c>
      <c r="AA151" s="8" t="inlineStr">
        <is>
          <t>https://whc.unesco.org/</t>
        </is>
      </c>
      <c r="AB151" s="2" t="inlineStr">
        <is>
          <t>Pleiades</t>
        </is>
      </c>
      <c r="AC151" s="8" t="inlineStr">
        <is>
          <t>https://pleiades.stoa.org/</t>
        </is>
      </c>
      <c r="AD151" s="2" t="inlineStr">
        <is>
          <t>Phaistos archaeology</t>
        </is>
      </c>
      <c r="AE151" s="2" t="inlineStr">
        <is>
          <t>Site context helps ground the Disk discussion.</t>
        </is>
      </c>
      <c r="AF151" s="2" t="inlineStr">
        <is>
          <t>Minoan scripts; palace ritual</t>
        </is>
      </c>
      <c r="AG151" s="2" t="inlineStr">
        <is>
          <t>Medium</t>
        </is>
      </c>
      <c r="AH151" s="2" t="inlineStr">
        <is>
          <t>Medium</t>
        </is>
      </c>
      <c r="AI151" s="2" t="inlineStr"/>
      <c r="AJ151" t="inlineStr">
        <is>
          <t>https://whc.unesco.org/en/search/?searchterm=Phaistos+archaeology</t>
        </is>
      </c>
      <c r="AK151" t="inlineStr">
        <is>
          <t>https://whc.unesco.org/en/search/?searchterm=Phaistos+archaeology</t>
        </is>
      </c>
      <c r="AL151" t="inlineStr">
        <is>
          <t>https://www.britishmuseum.org/collection/search?keyword=Phaistos+archaeology</t>
        </is>
      </c>
      <c r="AM151" t="inlineStr">
        <is>
          <t>https://whc.unesco.org/en/search/?searchterm=Phaistos+archaeology</t>
        </is>
      </c>
      <c r="AN151" t="inlineStr">
        <is>
          <t>https://pleiades.stoa.org/search?SearchableText=Phaistos+archaeology</t>
        </is>
      </c>
      <c r="AO151" t="inlineStr">
        <is>
          <t>1) Fact base: UNESCO. 2) Translation/text: UNESCO. 3) Images/objects: British Museum Collection. 4) Context/explanation: UNESCO. 5) Geography/maps: Pleiades. Use Suggested_Search_Term inside each portal.</t>
        </is>
      </c>
      <c r="AP151" t="inlineStr">
        <is>
          <t>Mixed: direct portal homepages plus search-result URLs where the portal exposes a public search endpoint.</t>
        </is>
      </c>
    </row>
    <row r="152">
      <c r="A152" s="2" t="n">
        <v>151</v>
      </c>
      <c r="B152" s="7" t="inlineStr">
        <is>
          <t>BCE_to_1AD</t>
        </is>
      </c>
      <c r="C152" s="2" t="inlineStr">
        <is>
          <t>Aegean / Greece / Italy</t>
        </is>
      </c>
      <c r="D152" s="2" t="inlineStr">
        <is>
          <t>Mediterranean classical traditions</t>
        </is>
      </c>
      <c r="E152" s="2" t="n">
        <v>-1700</v>
      </c>
      <c r="F152" s="2" t="n">
        <v>-1450</v>
      </c>
      <c r="G152" s="2" t="inlineStr">
        <is>
          <t>c. 1700 BCE to 1450 BCE</t>
        </is>
      </c>
      <c r="H152" s="2" t="inlineStr">
        <is>
          <t>Phaistos Disk</t>
        </is>
      </c>
      <c r="I152" s="2" t="inlineStr">
        <is>
          <t>Artifact</t>
        </is>
      </c>
      <c r="J152" s="2" t="inlineStr">
        <is>
          <t>Inscribed disk</t>
        </is>
      </c>
      <c r="K152" s="2" t="inlineStr">
        <is>
          <t>Script</t>
        </is>
      </c>
      <c r="L152" s="2" t="inlineStr">
        <is>
          <t>Undeciphered writing</t>
        </is>
      </c>
      <c r="M152" s="2" t="inlineStr">
        <is>
          <t>Greece</t>
        </is>
      </c>
      <c r="N152" s="2" t="inlineStr">
        <is>
          <t>Crete</t>
        </is>
      </c>
      <c r="O152" s="2" t="inlineStr">
        <is>
          <t>Clay disk stamped with still-undeciphered signs.</t>
        </is>
      </c>
      <c r="P152" s="2" t="inlineStr">
        <is>
          <t>A perennial mystery object in ancient-civilization media.</t>
        </is>
      </c>
      <c r="Q152" s="2" t="inlineStr">
        <is>
          <t>High</t>
        </is>
      </c>
      <c r="R152" s="2" t="inlineStr">
        <is>
          <t>No (undeciphered)</t>
        </is>
      </c>
      <c r="S152" s="2" t="inlineStr">
        <is>
          <t>High</t>
        </is>
      </c>
      <c r="T152" s="2" t="inlineStr">
        <is>
          <t>UNESCO</t>
        </is>
      </c>
      <c r="U152" s="8" t="inlineStr">
        <is>
          <t>https://whc.unesco.org/</t>
        </is>
      </c>
      <c r="V152" s="2" t="inlineStr">
        <is>
          <t>UNESCO</t>
        </is>
      </c>
      <c r="W152" s="8" t="inlineStr">
        <is>
          <t>https://whc.unesco.org/</t>
        </is>
      </c>
      <c r="X152" s="2" t="inlineStr">
        <is>
          <t>British Museum Collection</t>
        </is>
      </c>
      <c r="Y152" s="8" t="inlineStr">
        <is>
          <t>https://www.britishmuseum.org/collection</t>
        </is>
      </c>
      <c r="Z152" s="2" t="inlineStr">
        <is>
          <t>UNESCO</t>
        </is>
      </c>
      <c r="AA152" s="8" t="inlineStr">
        <is>
          <t>https://whc.unesco.org/</t>
        </is>
      </c>
      <c r="AB152" s="2" t="inlineStr">
        <is>
          <t>Pleiades</t>
        </is>
      </c>
      <c r="AC152" s="8" t="inlineStr">
        <is>
          <t>https://pleiades.stoa.org/</t>
        </is>
      </c>
      <c r="AD152" s="2" t="inlineStr">
        <is>
          <t>Phaistos Disk</t>
        </is>
      </c>
      <c r="AE152" s="2" t="inlineStr">
        <is>
          <t>Authenticity is accepted by most scholars, meaning remains disputed.</t>
        </is>
      </c>
      <c r="AF152" s="2" t="inlineStr">
        <is>
          <t>Undeciphered scripts; symbol systems</t>
        </is>
      </c>
      <c r="AG152" s="2" t="inlineStr">
        <is>
          <t>High</t>
        </is>
      </c>
      <c r="AH152" s="2" t="inlineStr">
        <is>
          <t>High</t>
        </is>
      </c>
      <c r="AI152" s="2" t="inlineStr"/>
      <c r="AJ152" t="inlineStr">
        <is>
          <t>https://whc.unesco.org/en/search/?searchterm=Phaistos+Disk</t>
        </is>
      </c>
      <c r="AK152" t="inlineStr">
        <is>
          <t>https://whc.unesco.org/en/search/?searchterm=Phaistos+Disk</t>
        </is>
      </c>
      <c r="AL152" t="inlineStr">
        <is>
          <t>https://www.britishmuseum.org/collection/search?keyword=Phaistos+Disk</t>
        </is>
      </c>
      <c r="AM152" t="inlineStr">
        <is>
          <t>https://whc.unesco.org/en/search/?searchterm=Phaistos+Disk</t>
        </is>
      </c>
      <c r="AN152" t="inlineStr">
        <is>
          <t>https://pleiades.stoa.org/search?SearchableText=Phaistos+Disk</t>
        </is>
      </c>
      <c r="AO152" t="inlineStr">
        <is>
          <t>1) Fact base: UNESCO. 2) Translation/text: UNESCO. 3) Images/objects: British Museum Collection. 4) Context/explanation: UNESCO. 5) Geography/maps: Pleiades. Use Suggested_Search_Term inside each portal.</t>
        </is>
      </c>
      <c r="AP152" t="inlineStr">
        <is>
          <t>Mixed: direct portal homepages plus search-result URLs where the portal exposes a public search endpoint.</t>
        </is>
      </c>
    </row>
    <row r="153">
      <c r="A153" s="2" t="n">
        <v>152</v>
      </c>
      <c r="B153" s="7" t="inlineStr">
        <is>
          <t>BCE_to_1AD</t>
        </is>
      </c>
      <c r="C153" s="2" t="inlineStr">
        <is>
          <t>Aegean / Greece / Italy</t>
        </is>
      </c>
      <c r="D153" s="2" t="inlineStr">
        <is>
          <t>Mediterranean classical traditions</t>
        </is>
      </c>
      <c r="E153" s="2" t="n">
        <v>-1800</v>
      </c>
      <c r="F153" s="2" t="n">
        <v>-1450</v>
      </c>
      <c r="G153" s="2" t="inlineStr">
        <is>
          <t>c. 1800 BCE to 1450 BCE</t>
        </is>
      </c>
      <c r="H153" s="2" t="inlineStr">
        <is>
          <t>Linear A</t>
        </is>
      </c>
      <c r="I153" s="2" t="inlineStr">
        <is>
          <t>Script corpus</t>
        </is>
      </c>
      <c r="J153" s="2" t="inlineStr">
        <is>
          <t>Tablets and inscriptions</t>
        </is>
      </c>
      <c r="K153" s="2" t="inlineStr">
        <is>
          <t>Script</t>
        </is>
      </c>
      <c r="L153" s="2" t="inlineStr">
        <is>
          <t>Administration</t>
        </is>
      </c>
      <c r="M153" s="2" t="inlineStr">
        <is>
          <t>Greece</t>
        </is>
      </c>
      <c r="N153" s="2" t="inlineStr">
        <is>
          <t>Minoan Crete</t>
        </is>
      </c>
      <c r="O153" s="2" t="inlineStr">
        <is>
          <t>Undeciphered script used on tablets, libation tables, and objects.</t>
        </is>
      </c>
      <c r="P153" s="2" t="inlineStr">
        <is>
          <t>Commonly cited as a lost-language key to Minoan civilization.</t>
        </is>
      </c>
      <c r="Q153" s="2" t="inlineStr">
        <is>
          <t>High</t>
        </is>
      </c>
      <c r="R153" s="2" t="inlineStr">
        <is>
          <t>No (undeciphered)</t>
        </is>
      </c>
      <c r="S153" s="2" t="inlineStr">
        <is>
          <t>Medium</t>
        </is>
      </c>
      <c r="T153" s="2" t="inlineStr">
        <is>
          <t>UNESCO</t>
        </is>
      </c>
      <c r="U153" s="8" t="inlineStr">
        <is>
          <t>https://whc.unesco.org/</t>
        </is>
      </c>
      <c r="V153" s="2" t="inlineStr">
        <is>
          <t>UNESCO</t>
        </is>
      </c>
      <c r="W153" s="8" t="inlineStr">
        <is>
          <t>https://whc.unesco.org/</t>
        </is>
      </c>
      <c r="X153" s="2" t="inlineStr">
        <is>
          <t>British Museum Collection</t>
        </is>
      </c>
      <c r="Y153" s="8" t="inlineStr">
        <is>
          <t>https://www.britishmuseum.org/collection</t>
        </is>
      </c>
      <c r="Z153" s="2" t="inlineStr">
        <is>
          <t>UNESCO</t>
        </is>
      </c>
      <c r="AA153" s="8" t="inlineStr">
        <is>
          <t>https://whc.unesco.org/</t>
        </is>
      </c>
      <c r="AB153" s="2" t="inlineStr">
        <is>
          <t>Pleiades</t>
        </is>
      </c>
      <c r="AC153" s="8" t="inlineStr">
        <is>
          <t>https://pleiades.stoa.org/</t>
        </is>
      </c>
      <c r="AD153" s="2" t="inlineStr">
        <is>
          <t>Linear A corpus</t>
        </is>
      </c>
      <c r="AE153" s="2" t="inlineStr">
        <is>
          <t>Do not present proposed decipherments as settled.</t>
        </is>
      </c>
      <c r="AF153" s="2" t="inlineStr">
        <is>
          <t>Scripts; Minoan religion</t>
        </is>
      </c>
      <c r="AG153" s="2" t="inlineStr">
        <is>
          <t>Critical</t>
        </is>
      </c>
      <c r="AH153" s="2" t="inlineStr">
        <is>
          <t>High</t>
        </is>
      </c>
      <c r="AI153" s="2" t="inlineStr"/>
      <c r="AJ153" t="inlineStr">
        <is>
          <t>https://whc.unesco.org/en/search/?searchterm=Linear+A+corpus</t>
        </is>
      </c>
      <c r="AK153" t="inlineStr">
        <is>
          <t>https://whc.unesco.org/en/search/?searchterm=Linear+A+corpus</t>
        </is>
      </c>
      <c r="AL153" t="inlineStr">
        <is>
          <t>https://www.britishmuseum.org/collection/search?keyword=Linear+A+corpus</t>
        </is>
      </c>
      <c r="AM153" t="inlineStr">
        <is>
          <t>https://whc.unesco.org/en/search/?searchterm=Linear+A+corpus</t>
        </is>
      </c>
      <c r="AN153" t="inlineStr">
        <is>
          <t>https://pleiades.stoa.org/search?SearchableText=Linear+A+corpus</t>
        </is>
      </c>
      <c r="AO153" t="inlineStr">
        <is>
          <t>1) Fact base: UNESCO. 2) Translation/text: UNESCO. 3) Images/objects: British Museum Collection. 4) Context/explanation: UNESCO. 5) Geography/maps: Pleiades. Use Suggested_Search_Term inside each portal.</t>
        </is>
      </c>
      <c r="AP153" t="inlineStr">
        <is>
          <t>Mixed: direct portal homepages plus search-result URLs where the portal exposes a public search endpoint.</t>
        </is>
      </c>
    </row>
    <row r="154">
      <c r="A154" s="2" t="n">
        <v>153</v>
      </c>
      <c r="B154" s="7" t="inlineStr">
        <is>
          <t>BCE_to_1AD</t>
        </is>
      </c>
      <c r="C154" s="2" t="inlineStr">
        <is>
          <t>Aegean / Greece / Italy</t>
        </is>
      </c>
      <c r="D154" s="2" t="inlineStr">
        <is>
          <t>Mediterranean classical traditions</t>
        </is>
      </c>
      <c r="E154" s="2" t="n">
        <v>-1450</v>
      </c>
      <c r="F154" s="2" t="n">
        <v>-1200</v>
      </c>
      <c r="G154" s="2" t="inlineStr">
        <is>
          <t>c. 1450 BCE to 1200 BCE</t>
        </is>
      </c>
      <c r="H154" s="2" t="inlineStr">
        <is>
          <t>Linear B tablets</t>
        </is>
      </c>
      <c r="I154" s="2" t="inlineStr">
        <is>
          <t>Tablet corpus</t>
        </is>
      </c>
      <c r="J154" s="2" t="inlineStr">
        <is>
          <t>Administrative tablets</t>
        </is>
      </c>
      <c r="K154" s="2" t="inlineStr">
        <is>
          <t>Script</t>
        </is>
      </c>
      <c r="L154" s="2" t="inlineStr">
        <is>
          <t>Mycenaean palaces</t>
        </is>
      </c>
      <c r="M154" s="2" t="inlineStr">
        <is>
          <t>Greece</t>
        </is>
      </c>
      <c r="N154" s="2" t="inlineStr">
        <is>
          <t>Mycenaean world</t>
        </is>
      </c>
      <c r="O154" s="2" t="inlineStr">
        <is>
          <t>Earliest deciphered Greek writing, preserving palace administration and divine names.</t>
        </is>
      </c>
      <c r="P154" s="2" t="inlineStr">
        <is>
          <t>A crucial bridge from Bronze Age palaces to later Greek tradition.</t>
        </is>
      </c>
      <c r="Q154" s="2" t="inlineStr">
        <is>
          <t>Medium</t>
        </is>
      </c>
      <c r="R154" s="2" t="inlineStr">
        <is>
          <t>High</t>
        </is>
      </c>
      <c r="S154" s="2" t="inlineStr">
        <is>
          <t>Medium</t>
        </is>
      </c>
      <c r="T154" s="2" t="inlineStr">
        <is>
          <t>UNESCO</t>
        </is>
      </c>
      <c r="U154" s="8" t="inlineStr">
        <is>
          <t>https://whc.unesco.org/</t>
        </is>
      </c>
      <c r="V154" s="2" t="inlineStr">
        <is>
          <t>UNESCO</t>
        </is>
      </c>
      <c r="W154" s="8" t="inlineStr">
        <is>
          <t>https://whc.unesco.org/</t>
        </is>
      </c>
      <c r="X154" s="2" t="inlineStr">
        <is>
          <t>British Museum Collection</t>
        </is>
      </c>
      <c r="Y154" s="8" t="inlineStr">
        <is>
          <t>https://www.britishmuseum.org/collection</t>
        </is>
      </c>
      <c r="Z154" s="2" t="inlineStr">
        <is>
          <t>UNESCO</t>
        </is>
      </c>
      <c r="AA154" s="8" t="inlineStr">
        <is>
          <t>https://whc.unesco.org/</t>
        </is>
      </c>
      <c r="AB154" s="2" t="inlineStr">
        <is>
          <t>Pleiades</t>
        </is>
      </c>
      <c r="AC154" s="8" t="inlineStr">
        <is>
          <t>https://pleiades.stoa.org/</t>
        </is>
      </c>
      <c r="AD154" s="2" t="inlineStr">
        <is>
          <t>Linear B corpus</t>
        </is>
      </c>
      <c r="AE154" s="2" t="inlineStr">
        <is>
          <t>Administrative genre, not heroic literature.</t>
        </is>
      </c>
      <c r="AF154" s="2" t="inlineStr">
        <is>
          <t>Greek gods; palace economy</t>
        </is>
      </c>
      <c r="AG154" s="2" t="inlineStr">
        <is>
          <t>Critical</t>
        </is>
      </c>
      <c r="AH154" s="2" t="inlineStr">
        <is>
          <t>Medium</t>
        </is>
      </c>
      <c r="AI154" s="2" t="inlineStr"/>
      <c r="AJ154" t="inlineStr">
        <is>
          <t>https://whc.unesco.org/en/search/?searchterm=Linear+B+corpus</t>
        </is>
      </c>
      <c r="AK154" t="inlineStr">
        <is>
          <t>https://whc.unesco.org/en/search/?searchterm=Linear+B+corpus</t>
        </is>
      </c>
      <c r="AL154" t="inlineStr">
        <is>
          <t>https://www.britishmuseum.org/collection/search?keyword=Linear+B+corpus</t>
        </is>
      </c>
      <c r="AM154" t="inlineStr">
        <is>
          <t>https://whc.unesco.org/en/search/?searchterm=Linear+B+corpus</t>
        </is>
      </c>
      <c r="AN154" t="inlineStr">
        <is>
          <t>https://pleiades.stoa.org/search?SearchableText=Linear+B+corpus</t>
        </is>
      </c>
      <c r="AO154" t="inlineStr">
        <is>
          <t>1) Fact base: UNESCO. 2) Translation/text: UNESCO. 3) Images/objects: British Museum Collection. 4) Context/explanation: UNESCO. 5) Geography/maps: Pleiades. Use Suggested_Search_Term inside each portal.</t>
        </is>
      </c>
      <c r="AP154" t="inlineStr">
        <is>
          <t>Mixed: direct portal homepages plus search-result URLs where the portal exposes a public search endpoint.</t>
        </is>
      </c>
    </row>
    <row r="155">
      <c r="A155" s="2" t="n">
        <v>154</v>
      </c>
      <c r="B155" s="7" t="inlineStr">
        <is>
          <t>BCE_to_1AD</t>
        </is>
      </c>
      <c r="C155" s="2" t="inlineStr">
        <is>
          <t>Aegean / Greece / Italy</t>
        </is>
      </c>
      <c r="D155" s="2" t="inlineStr">
        <is>
          <t>Mediterranean classical traditions</t>
        </is>
      </c>
      <c r="E155" s="2" t="n">
        <v>-1600</v>
      </c>
      <c r="F155" s="2" t="n">
        <v>-1100</v>
      </c>
      <c r="G155" s="2" t="inlineStr">
        <is>
          <t>c. 1600 BCE to 1100 BCE</t>
        </is>
      </c>
      <c r="H155" s="2" t="inlineStr">
        <is>
          <t>Mycenae</t>
        </is>
      </c>
      <c r="I155" s="2" t="inlineStr">
        <is>
          <t>Site</t>
        </is>
      </c>
      <c r="J155" s="2" t="inlineStr">
        <is>
          <t>Archaeology</t>
        </is>
      </c>
      <c r="K155" s="2" t="inlineStr">
        <is>
          <t>Palace</t>
        </is>
      </c>
      <c r="L155" s="2" t="inlineStr">
        <is>
          <t>Burial</t>
        </is>
      </c>
      <c r="M155" s="2" t="inlineStr">
        <is>
          <t>Greece</t>
        </is>
      </c>
      <c r="N155" s="2" t="inlineStr">
        <is>
          <t>Argolid</t>
        </is>
      </c>
      <c r="O155" s="2" t="inlineStr">
        <is>
          <t>Mycenaean citadel associated with shaft graves, tholos tombs, and later heroic memory.</t>
        </is>
      </c>
      <c r="P155" s="2" t="inlineStr">
        <is>
          <t>Frequently tied to Homeric tradition and deep heroic memory.</t>
        </is>
      </c>
      <c r="Q155" s="2" t="inlineStr">
        <is>
          <t>High</t>
        </is>
      </c>
      <c r="R155" s="2" t="inlineStr">
        <is>
          <t>Not applicable</t>
        </is>
      </c>
      <c r="S155" s="2" t="inlineStr">
        <is>
          <t>High</t>
        </is>
      </c>
      <c r="T155" s="2" t="inlineStr">
        <is>
          <t>UNESCO</t>
        </is>
      </c>
      <c r="U155" s="8" t="inlineStr">
        <is>
          <t>https://whc.unesco.org/</t>
        </is>
      </c>
      <c r="V155" s="2" t="inlineStr">
        <is>
          <t>UNESCO</t>
        </is>
      </c>
      <c r="W155" s="8" t="inlineStr">
        <is>
          <t>https://whc.unesco.org/</t>
        </is>
      </c>
      <c r="X155" s="2" t="inlineStr">
        <is>
          <t>British Museum Collection</t>
        </is>
      </c>
      <c r="Y155" s="8" t="inlineStr">
        <is>
          <t>https://www.britishmuseum.org/collection</t>
        </is>
      </c>
      <c r="Z155" s="2" t="inlineStr">
        <is>
          <t>UNESCO</t>
        </is>
      </c>
      <c r="AA155" s="8" t="inlineStr">
        <is>
          <t>https://whc.unesco.org/</t>
        </is>
      </c>
      <c r="AB155" s="2" t="inlineStr">
        <is>
          <t>Pleiades</t>
        </is>
      </c>
      <c r="AC155" s="8" t="inlineStr">
        <is>
          <t>https://pleiades.stoa.org/</t>
        </is>
      </c>
      <c r="AD155" s="2" t="inlineStr">
        <is>
          <t>Mycenae UNESCO</t>
        </is>
      </c>
      <c r="AE155" s="2" t="inlineStr">
        <is>
          <t>Differentiate archaeological Mycenae from Homeric retellings.</t>
        </is>
      </c>
      <c r="AF155" s="2" t="inlineStr">
        <is>
          <t>Heroic age; burials; gold</t>
        </is>
      </c>
      <c r="AG155" s="2" t="inlineStr">
        <is>
          <t>High</t>
        </is>
      </c>
      <c r="AH155" s="2" t="inlineStr">
        <is>
          <t>High</t>
        </is>
      </c>
      <c r="AI155" s="2" t="inlineStr"/>
      <c r="AJ155" t="inlineStr">
        <is>
          <t>https://whc.unesco.org/en/search/?searchterm=Mycenae+UNESCO</t>
        </is>
      </c>
      <c r="AK155" t="inlineStr">
        <is>
          <t>https://whc.unesco.org/en/search/?searchterm=Mycenae+UNESCO</t>
        </is>
      </c>
      <c r="AL155" t="inlineStr">
        <is>
          <t>https://www.britishmuseum.org/collection/search?keyword=Mycenae+UNESCO</t>
        </is>
      </c>
      <c r="AM155" t="inlineStr">
        <is>
          <t>https://whc.unesco.org/en/search/?searchterm=Mycenae+UNESCO</t>
        </is>
      </c>
      <c r="AN155" t="inlineStr">
        <is>
          <t>https://pleiades.stoa.org/search?SearchableText=Mycenae+UNESCO</t>
        </is>
      </c>
      <c r="AO155" t="inlineStr">
        <is>
          <t>1) Fact base: UNESCO. 2) Translation/text: UNESCO. 3) Images/objects: British Museum Collection. 4) Context/explanation: UNESCO. 5) Geography/maps: Pleiades. Use Suggested_Search_Term inside each portal.</t>
        </is>
      </c>
      <c r="AP155" t="inlineStr">
        <is>
          <t>Mixed: direct portal homepages plus search-result URLs where the portal exposes a public search endpoint.</t>
        </is>
      </c>
    </row>
    <row r="156">
      <c r="A156" s="2" t="n">
        <v>155</v>
      </c>
      <c r="B156" s="7" t="inlineStr">
        <is>
          <t>BCE_to_1AD</t>
        </is>
      </c>
      <c r="C156" s="2" t="inlineStr">
        <is>
          <t>Aegean / Greece / Italy</t>
        </is>
      </c>
      <c r="D156" s="2" t="inlineStr">
        <is>
          <t>Mediterranean classical traditions</t>
        </is>
      </c>
      <c r="E156" s="2" t="n">
        <v>-1400</v>
      </c>
      <c r="F156" s="2" t="n">
        <v>-1200</v>
      </c>
      <c r="G156" s="2" t="inlineStr">
        <is>
          <t>c. 1400 BCE to 1200 BCE</t>
        </is>
      </c>
      <c r="H156" s="2" t="inlineStr">
        <is>
          <t>Tiryns</t>
        </is>
      </c>
      <c r="I156" s="2" t="inlineStr">
        <is>
          <t>Site</t>
        </is>
      </c>
      <c r="J156" s="2" t="inlineStr">
        <is>
          <t>Archaeology</t>
        </is>
      </c>
      <c r="K156" s="2" t="inlineStr">
        <is>
          <t>Fortification</t>
        </is>
      </c>
      <c r="L156" s="2" t="inlineStr">
        <is>
          <t>Cyclopean masonry</t>
        </is>
      </c>
      <c r="M156" s="2" t="inlineStr">
        <is>
          <t>Greece</t>
        </is>
      </c>
      <c r="N156" s="2" t="inlineStr">
        <is>
          <t>Argolid</t>
        </is>
      </c>
      <c r="O156" s="2" t="inlineStr">
        <is>
          <t>Mycenaean citadel noted for massive walls.</t>
        </is>
      </c>
      <c r="P156" s="2" t="inlineStr">
        <is>
          <t>Cyclopean masonry is heavily used in lost-civilization rhetoric.</t>
        </is>
      </c>
      <c r="Q156" s="2" t="inlineStr">
        <is>
          <t>High</t>
        </is>
      </c>
      <c r="R156" s="2" t="inlineStr">
        <is>
          <t>Not applicable</t>
        </is>
      </c>
      <c r="S156" s="2" t="inlineStr">
        <is>
          <t>High</t>
        </is>
      </c>
      <c r="T156" s="2" t="inlineStr">
        <is>
          <t>UNESCO</t>
        </is>
      </c>
      <c r="U156" s="8" t="inlineStr">
        <is>
          <t>https://whc.unesco.org/</t>
        </is>
      </c>
      <c r="V156" s="2" t="inlineStr">
        <is>
          <t>UNESCO</t>
        </is>
      </c>
      <c r="W156" s="8" t="inlineStr">
        <is>
          <t>https://whc.unesco.org/</t>
        </is>
      </c>
      <c r="X156" s="2" t="inlineStr">
        <is>
          <t>British Museum Collection</t>
        </is>
      </c>
      <c r="Y156" s="8" t="inlineStr">
        <is>
          <t>https://www.britishmuseum.org/collection</t>
        </is>
      </c>
      <c r="Z156" s="2" t="inlineStr">
        <is>
          <t>UNESCO</t>
        </is>
      </c>
      <c r="AA156" s="8" t="inlineStr">
        <is>
          <t>https://whc.unesco.org/</t>
        </is>
      </c>
      <c r="AB156" s="2" t="inlineStr">
        <is>
          <t>Pleiades</t>
        </is>
      </c>
      <c r="AC156" s="8" t="inlineStr">
        <is>
          <t>https://pleiades.stoa.org/</t>
        </is>
      </c>
      <c r="AD156" s="2" t="inlineStr">
        <is>
          <t>Tiryns UNESCO</t>
        </is>
      </c>
      <c r="AE156" s="2" t="inlineStr">
        <is>
          <t>Great control case for masonry without exotic explanation.</t>
        </is>
      </c>
      <c r="AF156" s="2" t="inlineStr">
        <is>
          <t>Masonry; fortifications</t>
        </is>
      </c>
      <c r="AG156" s="2" t="inlineStr">
        <is>
          <t>High</t>
        </is>
      </c>
      <c r="AH156" s="2" t="inlineStr">
        <is>
          <t>High</t>
        </is>
      </c>
      <c r="AI156" s="2" t="inlineStr"/>
      <c r="AJ156" t="inlineStr">
        <is>
          <t>https://whc.unesco.org/en/search/?searchterm=Tiryns+UNESCO</t>
        </is>
      </c>
      <c r="AK156" t="inlineStr">
        <is>
          <t>https://whc.unesco.org/en/search/?searchterm=Tiryns+UNESCO</t>
        </is>
      </c>
      <c r="AL156" t="inlineStr">
        <is>
          <t>https://www.britishmuseum.org/collection/search?keyword=Tiryns+UNESCO</t>
        </is>
      </c>
      <c r="AM156" t="inlineStr">
        <is>
          <t>https://whc.unesco.org/en/search/?searchterm=Tiryns+UNESCO</t>
        </is>
      </c>
      <c r="AN156" t="inlineStr">
        <is>
          <t>https://pleiades.stoa.org/search?SearchableText=Tiryns+UNESCO</t>
        </is>
      </c>
      <c r="AO156" t="inlineStr">
        <is>
          <t>1) Fact base: UNESCO. 2) Translation/text: UNESCO. 3) Images/objects: British Museum Collection. 4) Context/explanation: UNESCO. 5) Geography/maps: Pleiades. Use Suggested_Search_Term inside each portal.</t>
        </is>
      </c>
      <c r="AP156" t="inlineStr">
        <is>
          <t>Mixed: direct portal homepages plus search-result URLs where the portal exposes a public search endpoint.</t>
        </is>
      </c>
    </row>
    <row r="157">
      <c r="A157" s="2" t="n">
        <v>156</v>
      </c>
      <c r="B157" s="7" t="inlineStr">
        <is>
          <t>BCE_to_1AD</t>
        </is>
      </c>
      <c r="C157" s="2" t="inlineStr">
        <is>
          <t>Aegean / Greece / Italy</t>
        </is>
      </c>
      <c r="D157" s="2" t="inlineStr">
        <is>
          <t>Mediterranean classical traditions</t>
        </is>
      </c>
      <c r="E157" s="2" t="n">
        <v>-750</v>
      </c>
      <c r="F157" s="2" t="n">
        <v>-650</v>
      </c>
      <c r="G157" s="2" t="inlineStr">
        <is>
          <t>c. 750 BCE to 650 BCE</t>
        </is>
      </c>
      <c r="H157" s="2" t="inlineStr">
        <is>
          <t>Homeric Iliad</t>
        </is>
      </c>
      <c r="I157" s="2" t="inlineStr">
        <is>
          <t>Text tradition</t>
        </is>
      </c>
      <c r="J157" s="2" t="inlineStr">
        <is>
          <t>Oral-to-written epic</t>
        </is>
      </c>
      <c r="K157" s="2" t="inlineStr">
        <is>
          <t>War</t>
        </is>
      </c>
      <c r="L157" s="2" t="inlineStr">
        <is>
          <t>Heroic memory</t>
        </is>
      </c>
      <c r="M157" s="2" t="inlineStr">
        <is>
          <t>Greece</t>
        </is>
      </c>
      <c r="N157" s="2" t="inlineStr">
        <is>
          <t>Greek oral tradition</t>
        </is>
      </c>
      <c r="O157" s="2" t="inlineStr">
        <is>
          <t>Epic poem preserving heroic-age memory in later literary form.</t>
        </is>
      </c>
      <c r="P157" s="2" t="inlineStr">
        <is>
          <t>Central to myth-as-history methodology in the Greek world.</t>
        </is>
      </c>
      <c r="Q157" s="2" t="inlineStr">
        <is>
          <t>Medium</t>
        </is>
      </c>
      <c r="R157" s="2" t="inlineStr">
        <is>
          <t>High</t>
        </is>
      </c>
      <c r="S157" s="2" t="inlineStr">
        <is>
          <t>Low</t>
        </is>
      </c>
      <c r="T157" s="2" t="inlineStr">
        <is>
          <t>Perseus</t>
        </is>
      </c>
      <c r="U157" s="8" t="inlineStr">
        <is>
          <t>https://www.perseus.tufts.edu/hopper/</t>
        </is>
      </c>
      <c r="V157" s="2" t="inlineStr">
        <is>
          <t>Perseus</t>
        </is>
      </c>
      <c r="W157" s="8" t="inlineStr">
        <is>
          <t>https://www.perseus.tufts.edu/hopper/</t>
        </is>
      </c>
      <c r="X157" s="2" t="inlineStr">
        <is>
          <t>British Museum Collection</t>
        </is>
      </c>
      <c r="Y157" s="8" t="inlineStr">
        <is>
          <t>https://www.britishmuseum.org/collection</t>
        </is>
      </c>
      <c r="Z157" s="2" t="inlineStr">
        <is>
          <t>UNESCO</t>
        </is>
      </c>
      <c r="AA157" s="8" t="inlineStr">
        <is>
          <t>https://whc.unesco.org/</t>
        </is>
      </c>
      <c r="AB157" s="2" t="inlineStr">
        <is>
          <t>Pleiades</t>
        </is>
      </c>
      <c r="AC157" s="8" t="inlineStr">
        <is>
          <t>https://pleiades.stoa.org/</t>
        </is>
      </c>
      <c r="AD157" s="2" t="inlineStr">
        <is>
          <t>Iliad Perseus</t>
        </is>
      </c>
      <c r="AE157" s="2" t="inlineStr">
        <is>
          <t>Oral tradition and literary fixation should both be acknowledged.</t>
        </is>
      </c>
      <c r="AF157" s="2" t="inlineStr">
        <is>
          <t>Heroic war; gods in battle</t>
        </is>
      </c>
      <c r="AG157" s="2" t="inlineStr">
        <is>
          <t>Critical</t>
        </is>
      </c>
      <c r="AH157" s="2" t="inlineStr">
        <is>
          <t>High</t>
        </is>
      </c>
      <c r="AI157" s="2" t="inlineStr"/>
      <c r="AJ157" t="inlineStr">
        <is>
          <t>https://www.perseus.tufts.edu/hopper/</t>
        </is>
      </c>
      <c r="AK157" t="inlineStr">
        <is>
          <t>https://www.perseus.tufts.edu/hopper/</t>
        </is>
      </c>
      <c r="AL157" t="inlineStr">
        <is>
          <t>https://www.britishmuseum.org/collection/search?keyword=Iliad+Perseus</t>
        </is>
      </c>
      <c r="AM157" t="inlineStr">
        <is>
          <t>https://whc.unesco.org/en/search/?searchterm=Iliad+Perseus</t>
        </is>
      </c>
      <c r="AN157" t="inlineStr">
        <is>
          <t>https://pleiades.stoa.org/search?SearchableText=Iliad+Perseus</t>
        </is>
      </c>
      <c r="AO157" t="inlineStr">
        <is>
          <t>1) Fact base: Perseus. 2) Translation/text: Perseus. 3) Images/objects: British Museum Collection. 4) Context/explanation: UNESCO. 5) Geography/maps: Pleiades. Use Suggested_Search_Term inside each portal.</t>
        </is>
      </c>
      <c r="AP157" t="inlineStr">
        <is>
          <t>Mixed: direct portal homepages plus search-result URLs where the portal exposes a public search endpoint.</t>
        </is>
      </c>
    </row>
    <row r="158">
      <c r="A158" s="2" t="n">
        <v>157</v>
      </c>
      <c r="B158" s="7" t="inlineStr">
        <is>
          <t>BCE_to_1AD</t>
        </is>
      </c>
      <c r="C158" s="2" t="inlineStr">
        <is>
          <t>Aegean / Greece / Italy</t>
        </is>
      </c>
      <c r="D158" s="2" t="inlineStr">
        <is>
          <t>Mediterranean classical traditions</t>
        </is>
      </c>
      <c r="E158" s="2" t="n">
        <v>-750</v>
      </c>
      <c r="F158" s="2" t="n">
        <v>-650</v>
      </c>
      <c r="G158" s="2" t="inlineStr">
        <is>
          <t>c. 750 BCE to 650 BCE</t>
        </is>
      </c>
      <c r="H158" s="2" t="inlineStr">
        <is>
          <t>Homeric Odyssey</t>
        </is>
      </c>
      <c r="I158" s="2" t="inlineStr">
        <is>
          <t>Text tradition</t>
        </is>
      </c>
      <c r="J158" s="2" t="inlineStr">
        <is>
          <t>Oral-to-written epic</t>
        </is>
      </c>
      <c r="K158" s="2" t="inlineStr">
        <is>
          <t>Voyage</t>
        </is>
      </c>
      <c r="L158" s="2" t="inlineStr">
        <is>
          <t>Mythic geography</t>
        </is>
      </c>
      <c r="M158" s="2" t="inlineStr">
        <is>
          <t>Greece</t>
        </is>
      </c>
      <c r="N158" s="2" t="inlineStr">
        <is>
          <t>Greek oral tradition</t>
        </is>
      </c>
      <c r="O158" s="2" t="inlineStr">
        <is>
          <t>Epic voyage narrative linking islands, monsters, and return.</t>
        </is>
      </c>
      <c r="P158" s="2" t="inlineStr">
        <is>
          <t>Important for sacred geography and seafaring memory.</t>
        </is>
      </c>
      <c r="Q158" s="2" t="inlineStr">
        <is>
          <t>Medium</t>
        </is>
      </c>
      <c r="R158" s="2" t="inlineStr">
        <is>
          <t>High</t>
        </is>
      </c>
      <c r="S158" s="2" t="inlineStr">
        <is>
          <t>Low</t>
        </is>
      </c>
      <c r="T158" s="2" t="inlineStr">
        <is>
          <t>Perseus</t>
        </is>
      </c>
      <c r="U158" s="8" t="inlineStr">
        <is>
          <t>https://www.perseus.tufts.edu/hopper/</t>
        </is>
      </c>
      <c r="V158" s="2" t="inlineStr">
        <is>
          <t>Perseus</t>
        </is>
      </c>
      <c r="W158" s="8" t="inlineStr">
        <is>
          <t>https://www.perseus.tufts.edu/hopper/</t>
        </is>
      </c>
      <c r="X158" s="2" t="inlineStr">
        <is>
          <t>British Museum Collection</t>
        </is>
      </c>
      <c r="Y158" s="8" t="inlineStr">
        <is>
          <t>https://www.britishmuseum.org/collection</t>
        </is>
      </c>
      <c r="Z158" s="2" t="inlineStr">
        <is>
          <t>UNESCO</t>
        </is>
      </c>
      <c r="AA158" s="8" t="inlineStr">
        <is>
          <t>https://whc.unesco.org/</t>
        </is>
      </c>
      <c r="AB158" s="2" t="inlineStr">
        <is>
          <t>Pleiades</t>
        </is>
      </c>
      <c r="AC158" s="8" t="inlineStr">
        <is>
          <t>https://pleiades.stoa.org/</t>
        </is>
      </c>
      <c r="AD158" s="2" t="inlineStr">
        <is>
          <t>Odyssey Perseus</t>
        </is>
      </c>
      <c r="AE158" s="2" t="inlineStr">
        <is>
          <t>Geography is literary and layered.</t>
        </is>
      </c>
      <c r="AF158" s="2" t="inlineStr">
        <is>
          <t>Sea journeys; liminal worlds</t>
        </is>
      </c>
      <c r="AG158" s="2" t="inlineStr">
        <is>
          <t>High</t>
        </is>
      </c>
      <c r="AH158" s="2" t="inlineStr">
        <is>
          <t>High</t>
        </is>
      </c>
      <c r="AI158" s="2" t="inlineStr"/>
      <c r="AJ158" t="inlineStr">
        <is>
          <t>https://www.perseus.tufts.edu/hopper/</t>
        </is>
      </c>
      <c r="AK158" t="inlineStr">
        <is>
          <t>https://www.perseus.tufts.edu/hopper/</t>
        </is>
      </c>
      <c r="AL158" t="inlineStr">
        <is>
          <t>https://www.britishmuseum.org/collection/search?keyword=Odyssey+Perseus</t>
        </is>
      </c>
      <c r="AM158" t="inlineStr">
        <is>
          <t>https://whc.unesco.org/en/search/?searchterm=Odyssey+Perseus</t>
        </is>
      </c>
      <c r="AN158" t="inlineStr">
        <is>
          <t>https://pleiades.stoa.org/search?SearchableText=Odyssey+Perseus</t>
        </is>
      </c>
      <c r="AO158" t="inlineStr">
        <is>
          <t>1) Fact base: Perseus. 2) Translation/text: Perseus. 3) Images/objects: British Museum Collection. 4) Context/explanation: UNESCO. 5) Geography/maps: Pleiades. Use Suggested_Search_Term inside each portal.</t>
        </is>
      </c>
      <c r="AP158" t="inlineStr">
        <is>
          <t>Mixed: direct portal homepages plus search-result URLs where the portal exposes a public search endpoint.</t>
        </is>
      </c>
    </row>
    <row r="159">
      <c r="A159" s="2" t="n">
        <v>158</v>
      </c>
      <c r="B159" s="7" t="inlineStr">
        <is>
          <t>BCE_to_1AD</t>
        </is>
      </c>
      <c r="C159" s="2" t="inlineStr">
        <is>
          <t>Aegean / Greece / Italy</t>
        </is>
      </c>
      <c r="D159" s="2" t="inlineStr">
        <is>
          <t>Mediterranean classical traditions</t>
        </is>
      </c>
      <c r="E159" s="2" t="n">
        <v>-700</v>
      </c>
      <c r="F159" s="2" t="n">
        <v>-650</v>
      </c>
      <c r="G159" s="2" t="inlineStr">
        <is>
          <t>c. 700 BCE to 650 BCE</t>
        </is>
      </c>
      <c r="H159" s="2" t="inlineStr">
        <is>
          <t>Hesiod's Theogony</t>
        </is>
      </c>
      <c r="I159" s="2" t="inlineStr">
        <is>
          <t>Text</t>
        </is>
      </c>
      <c r="J159" s="2" t="inlineStr">
        <is>
          <t>Poetic text</t>
        </is>
      </c>
      <c r="K159" s="2" t="inlineStr">
        <is>
          <t>Creation</t>
        </is>
      </c>
      <c r="L159" s="2" t="inlineStr">
        <is>
          <t>Genealogy of gods</t>
        </is>
      </c>
      <c r="M159" s="2" t="inlineStr">
        <is>
          <t>Greece</t>
        </is>
      </c>
      <c r="N159" s="2" t="inlineStr">
        <is>
          <t>Archaic Greece</t>
        </is>
      </c>
      <c r="O159" s="2" t="inlineStr">
        <is>
          <t>Poem on origins and genealogies of the Greek gods.</t>
        </is>
      </c>
      <c r="P159" s="2" t="inlineStr">
        <is>
          <t>A core creation and succession text for Greek myth comparison.</t>
        </is>
      </c>
      <c r="Q159" s="2" t="inlineStr">
        <is>
          <t>High</t>
        </is>
      </c>
      <c r="R159" s="2" t="inlineStr">
        <is>
          <t>High</t>
        </is>
      </c>
      <c r="S159" s="2" t="inlineStr">
        <is>
          <t>Low</t>
        </is>
      </c>
      <c r="T159" s="2" t="inlineStr">
        <is>
          <t>Perseus</t>
        </is>
      </c>
      <c r="U159" s="8" t="inlineStr">
        <is>
          <t>https://www.perseus.tufts.edu/hopper/</t>
        </is>
      </c>
      <c r="V159" s="2" t="inlineStr">
        <is>
          <t>Perseus</t>
        </is>
      </c>
      <c r="W159" s="8" t="inlineStr">
        <is>
          <t>https://www.perseus.tufts.edu/hopper/</t>
        </is>
      </c>
      <c r="X159" s="2" t="inlineStr">
        <is>
          <t>British Museum Collection</t>
        </is>
      </c>
      <c r="Y159" s="8" t="inlineStr">
        <is>
          <t>https://www.britishmuseum.org/collection</t>
        </is>
      </c>
      <c r="Z159" s="2" t="inlineStr">
        <is>
          <t>UNESCO</t>
        </is>
      </c>
      <c r="AA159" s="8" t="inlineStr">
        <is>
          <t>https://whc.unesco.org/</t>
        </is>
      </c>
      <c r="AB159" s="2" t="inlineStr">
        <is>
          <t>Pleiades</t>
        </is>
      </c>
      <c r="AC159" s="8" t="inlineStr">
        <is>
          <t>https://pleiades.stoa.org/</t>
        </is>
      </c>
      <c r="AD159" s="2" t="inlineStr">
        <is>
          <t>Theogony Perseus</t>
        </is>
      </c>
      <c r="AE159" s="2" t="inlineStr">
        <is>
          <t>Excellent for cross-cultural genealogy comparison.</t>
        </is>
      </c>
      <c r="AF159" s="2" t="inlineStr">
        <is>
          <t>Creation; succession; chaos</t>
        </is>
      </c>
      <c r="AG159" s="2" t="inlineStr">
        <is>
          <t>Critical</t>
        </is>
      </c>
      <c r="AH159" s="2" t="inlineStr">
        <is>
          <t>High</t>
        </is>
      </c>
      <c r="AI159" s="2" t="inlineStr"/>
      <c r="AJ159" t="inlineStr">
        <is>
          <t>https://www.perseus.tufts.edu/hopper/</t>
        </is>
      </c>
      <c r="AK159" t="inlineStr">
        <is>
          <t>https://www.perseus.tufts.edu/hopper/</t>
        </is>
      </c>
      <c r="AL159" t="inlineStr">
        <is>
          <t>https://www.britishmuseum.org/collection/search?keyword=Theogony+Perseus</t>
        </is>
      </c>
      <c r="AM159" t="inlineStr">
        <is>
          <t>https://whc.unesco.org/en/search/?searchterm=Theogony+Perseus</t>
        </is>
      </c>
      <c r="AN159" t="inlineStr">
        <is>
          <t>https://pleiades.stoa.org/search?SearchableText=Theogony+Perseus</t>
        </is>
      </c>
      <c r="AO159" t="inlineStr">
        <is>
          <t>1) Fact base: Perseus. 2) Translation/text: Perseus. 3) Images/objects: British Museum Collection. 4) Context/explanation: UNESCO. 5) Geography/maps: Pleiades. Use Suggested_Search_Term inside each portal.</t>
        </is>
      </c>
      <c r="AP159" t="inlineStr">
        <is>
          <t>Mixed: direct portal homepages plus search-result URLs where the portal exposes a public search endpoint.</t>
        </is>
      </c>
    </row>
    <row r="160">
      <c r="A160" s="2" t="n">
        <v>159</v>
      </c>
      <c r="B160" s="7" t="inlineStr">
        <is>
          <t>BCE_to_1AD</t>
        </is>
      </c>
      <c r="C160" s="2" t="inlineStr">
        <is>
          <t>Aegean / Greece / Italy</t>
        </is>
      </c>
      <c r="D160" s="2" t="inlineStr">
        <is>
          <t>Mediterranean classical traditions</t>
        </is>
      </c>
      <c r="E160" s="2" t="n">
        <v>-700</v>
      </c>
      <c r="F160" s="2" t="n">
        <v>-650</v>
      </c>
      <c r="G160" s="2" t="inlineStr">
        <is>
          <t>c. 700 BCE to 650 BCE</t>
        </is>
      </c>
      <c r="H160" s="2" t="inlineStr">
        <is>
          <t>Hesiod's Works and Days</t>
        </is>
      </c>
      <c r="I160" s="2" t="inlineStr">
        <is>
          <t>Text</t>
        </is>
      </c>
      <c r="J160" s="2" t="inlineStr">
        <is>
          <t>Poetic text</t>
        </is>
      </c>
      <c r="K160" s="2" t="inlineStr">
        <is>
          <t>Ages of mankind</t>
        </is>
      </c>
      <c r="L160" s="2" t="inlineStr">
        <is>
          <t>Agrarian order</t>
        </is>
      </c>
      <c r="M160" s="2" t="inlineStr">
        <is>
          <t>Greece</t>
        </is>
      </c>
      <c r="N160" s="2" t="inlineStr">
        <is>
          <t>Archaic Greece</t>
        </is>
      </c>
      <c r="O160" s="2" t="inlineStr">
        <is>
          <t>Didactic poem including the ages of gold, silver, bronze, heroes, and iron.</t>
        </is>
      </c>
      <c r="P160" s="2" t="inlineStr">
        <is>
          <t>Very important for cyclical-decline and lost-age narratives.</t>
        </is>
      </c>
      <c r="Q160" s="2" t="inlineStr">
        <is>
          <t>High</t>
        </is>
      </c>
      <c r="R160" s="2" t="inlineStr">
        <is>
          <t>High</t>
        </is>
      </c>
      <c r="S160" s="2" t="inlineStr">
        <is>
          <t>Low</t>
        </is>
      </c>
      <c r="T160" s="2" t="inlineStr">
        <is>
          <t>Perseus</t>
        </is>
      </c>
      <c r="U160" s="8" t="inlineStr">
        <is>
          <t>https://www.perseus.tufts.edu/hopper/</t>
        </is>
      </c>
      <c r="V160" s="2" t="inlineStr">
        <is>
          <t>Perseus</t>
        </is>
      </c>
      <c r="W160" s="8" t="inlineStr">
        <is>
          <t>https://www.perseus.tufts.edu/hopper/</t>
        </is>
      </c>
      <c r="X160" s="2" t="inlineStr">
        <is>
          <t>British Museum Collection</t>
        </is>
      </c>
      <c r="Y160" s="8" t="inlineStr">
        <is>
          <t>https://www.britishmuseum.org/collection</t>
        </is>
      </c>
      <c r="Z160" s="2" t="inlineStr">
        <is>
          <t>UNESCO</t>
        </is>
      </c>
      <c r="AA160" s="8" t="inlineStr">
        <is>
          <t>https://whc.unesco.org/</t>
        </is>
      </c>
      <c r="AB160" s="2" t="inlineStr">
        <is>
          <t>Pleiades</t>
        </is>
      </c>
      <c r="AC160" s="8" t="inlineStr">
        <is>
          <t>https://pleiades.stoa.org/</t>
        </is>
      </c>
      <c r="AD160" s="2" t="inlineStr">
        <is>
          <t>Works and Days Perseus</t>
        </is>
      </c>
      <c r="AE160" s="2" t="inlineStr">
        <is>
          <t>Use as moral-poetic frame, not literal chronology.</t>
        </is>
      </c>
      <c r="AF160" s="2" t="inlineStr">
        <is>
          <t>Ages of man; decline</t>
        </is>
      </c>
      <c r="AG160" s="2" t="inlineStr">
        <is>
          <t>Critical</t>
        </is>
      </c>
      <c r="AH160" s="2" t="inlineStr">
        <is>
          <t>High</t>
        </is>
      </c>
      <c r="AI160" s="2" t="inlineStr"/>
      <c r="AJ160" t="inlineStr">
        <is>
          <t>https://www.perseus.tufts.edu/hopper/</t>
        </is>
      </c>
      <c r="AK160" t="inlineStr">
        <is>
          <t>https://www.perseus.tufts.edu/hopper/</t>
        </is>
      </c>
      <c r="AL160" t="inlineStr">
        <is>
          <t>https://www.britishmuseum.org/collection/search?keyword=Works+and+Days+Perseus</t>
        </is>
      </c>
      <c r="AM160" t="inlineStr">
        <is>
          <t>https://whc.unesco.org/en/search/?searchterm=Works+and+Days+Perseus</t>
        </is>
      </c>
      <c r="AN160" t="inlineStr">
        <is>
          <t>https://pleiades.stoa.org/search?SearchableText=Works+and+Days+Perseus</t>
        </is>
      </c>
      <c r="AO160" t="inlineStr">
        <is>
          <t>1) Fact base: Perseus. 2) Translation/text: Perseus. 3) Images/objects: British Museum Collection. 4) Context/explanation: UNESCO. 5) Geography/maps: Pleiades. Use Suggested_Search_Term inside each portal.</t>
        </is>
      </c>
      <c r="AP160" t="inlineStr">
        <is>
          <t>Mixed: direct portal homepages plus search-result URLs where the portal exposes a public search endpoint.</t>
        </is>
      </c>
    </row>
    <row r="161">
      <c r="A161" s="2" t="n">
        <v>160</v>
      </c>
      <c r="B161" s="7" t="inlineStr">
        <is>
          <t>BCE_to_1AD</t>
        </is>
      </c>
      <c r="C161" s="2" t="inlineStr">
        <is>
          <t>Aegean / Greece / Italy</t>
        </is>
      </c>
      <c r="D161" s="2" t="inlineStr">
        <is>
          <t>Mediterranean classical traditions</t>
        </is>
      </c>
      <c r="E161" s="2" t="n">
        <v>-600</v>
      </c>
      <c r="F161" s="2" t="n">
        <v>-300</v>
      </c>
      <c r="G161" s="2" t="inlineStr">
        <is>
          <t>c. 600 BCE to 300 BCE</t>
        </is>
      </c>
      <c r="H161" s="2" t="inlineStr">
        <is>
          <t>Delphi</t>
        </is>
      </c>
      <c r="I161" s="2" t="inlineStr">
        <is>
          <t>Site</t>
        </is>
      </c>
      <c r="J161" s="2" t="inlineStr">
        <is>
          <t>Archaeology</t>
        </is>
      </c>
      <c r="K161" s="2" t="inlineStr">
        <is>
          <t>Oracle</t>
        </is>
      </c>
      <c r="L161" s="2" t="inlineStr">
        <is>
          <t>Sacred geography</t>
        </is>
      </c>
      <c r="M161" s="2" t="inlineStr">
        <is>
          <t>Greece</t>
        </is>
      </c>
      <c r="N161" s="2" t="inlineStr">
        <is>
          <t>Phocis</t>
        </is>
      </c>
      <c r="O161" s="2" t="inlineStr">
        <is>
          <t>Panhellenic sanctuary centered on Apollo and prophetic consultation.</t>
        </is>
      </c>
      <c r="P161" s="2" t="inlineStr">
        <is>
          <t>Useful for sanctioned divine knowledge and pilgrimage networks.</t>
        </is>
      </c>
      <c r="Q161" s="2" t="inlineStr">
        <is>
          <t>Low</t>
        </is>
      </c>
      <c r="R161" s="2" t="inlineStr">
        <is>
          <t>Not applicable</t>
        </is>
      </c>
      <c r="S161" s="2" t="inlineStr">
        <is>
          <t>High</t>
        </is>
      </c>
      <c r="T161" s="2" t="inlineStr">
        <is>
          <t>UNESCO</t>
        </is>
      </c>
      <c r="U161" s="8" t="inlineStr">
        <is>
          <t>https://whc.unesco.org/</t>
        </is>
      </c>
      <c r="V161" s="2" t="inlineStr">
        <is>
          <t>UNESCO</t>
        </is>
      </c>
      <c r="W161" s="8" t="inlineStr">
        <is>
          <t>https://whc.unesco.org/</t>
        </is>
      </c>
      <c r="X161" s="2" t="inlineStr">
        <is>
          <t>British Museum Collection</t>
        </is>
      </c>
      <c r="Y161" s="8" t="inlineStr">
        <is>
          <t>https://www.britishmuseum.org/collection</t>
        </is>
      </c>
      <c r="Z161" s="2" t="inlineStr">
        <is>
          <t>UNESCO</t>
        </is>
      </c>
      <c r="AA161" s="8" t="inlineStr">
        <is>
          <t>https://whc.unesco.org/</t>
        </is>
      </c>
      <c r="AB161" s="2" t="inlineStr">
        <is>
          <t>Pleiades</t>
        </is>
      </c>
      <c r="AC161" s="8" t="inlineStr">
        <is>
          <t>https://pleiades.stoa.org/</t>
        </is>
      </c>
      <c r="AD161" s="2" t="inlineStr">
        <is>
          <t>Delphi UNESCO</t>
        </is>
      </c>
      <c r="AE161" s="2" t="inlineStr">
        <is>
          <t>Site phases span long periods.</t>
        </is>
      </c>
      <c r="AF161" s="2" t="inlineStr">
        <is>
          <t>Oracles; sacred center</t>
        </is>
      </c>
      <c r="AG161" s="2" t="inlineStr">
        <is>
          <t>Medium</t>
        </is>
      </c>
      <c r="AH161" s="2" t="inlineStr">
        <is>
          <t>Medium</t>
        </is>
      </c>
      <c r="AI161" s="2" t="inlineStr"/>
      <c r="AJ161" t="inlineStr">
        <is>
          <t>https://whc.unesco.org/en/search/?searchterm=Delphi+UNESCO</t>
        </is>
      </c>
      <c r="AK161" t="inlineStr">
        <is>
          <t>https://whc.unesco.org/en/search/?searchterm=Delphi+UNESCO</t>
        </is>
      </c>
      <c r="AL161" t="inlineStr">
        <is>
          <t>https://www.britishmuseum.org/collection/search?keyword=Delphi+UNESCO</t>
        </is>
      </c>
      <c r="AM161" t="inlineStr">
        <is>
          <t>https://whc.unesco.org/en/search/?searchterm=Delphi+UNESCO</t>
        </is>
      </c>
      <c r="AN161" t="inlineStr">
        <is>
          <t>https://pleiades.stoa.org/search?SearchableText=Delphi+UNESCO</t>
        </is>
      </c>
      <c r="AO161" t="inlineStr">
        <is>
          <t>1) Fact base: UNESCO. 2) Translation/text: UNESCO. 3) Images/objects: British Museum Collection. 4) Context/explanation: UNESCO. 5) Geography/maps: Pleiades. Use Suggested_Search_Term inside each portal.</t>
        </is>
      </c>
      <c r="AP161" t="inlineStr">
        <is>
          <t>Mixed: direct portal homepages plus search-result URLs where the portal exposes a public search endpoint.</t>
        </is>
      </c>
    </row>
    <row r="162">
      <c r="A162" s="2" t="n">
        <v>161</v>
      </c>
      <c r="B162" s="7" t="inlineStr">
        <is>
          <t>BCE_to_1AD</t>
        </is>
      </c>
      <c r="C162" s="2" t="inlineStr">
        <is>
          <t>Aegean / Greece / Italy</t>
        </is>
      </c>
      <c r="D162" s="2" t="inlineStr">
        <is>
          <t>Mediterranean classical traditions</t>
        </is>
      </c>
      <c r="E162" s="2" t="n">
        <v>-1400</v>
      </c>
      <c r="F162" s="2" t="n">
        <v>-300</v>
      </c>
      <c r="G162" s="2" t="inlineStr">
        <is>
          <t>c. 1400 BCE to 300 BCE</t>
        </is>
      </c>
      <c r="H162" s="2" t="inlineStr">
        <is>
          <t>Eleusis</t>
        </is>
      </c>
      <c r="I162" s="2" t="inlineStr">
        <is>
          <t>Site</t>
        </is>
      </c>
      <c r="J162" s="2" t="inlineStr">
        <is>
          <t>Archaeology</t>
        </is>
      </c>
      <c r="K162" s="2" t="inlineStr">
        <is>
          <t>Mystery cult</t>
        </is>
      </c>
      <c r="L162" s="2" t="inlineStr">
        <is>
          <t>Afterlife</t>
        </is>
      </c>
      <c r="M162" s="2" t="inlineStr">
        <is>
          <t>Greece</t>
        </is>
      </c>
      <c r="N162" s="2" t="inlineStr">
        <is>
          <t>Attica</t>
        </is>
      </c>
      <c r="O162" s="2" t="inlineStr">
        <is>
          <t>Sanctuary of Demeter and Persephone associated with initiation rites.</t>
        </is>
      </c>
      <c r="P162" s="2" t="inlineStr">
        <is>
          <t>Important for death-rebirth and secret knowledge motifs.</t>
        </is>
      </c>
      <c r="Q162" s="2" t="inlineStr">
        <is>
          <t>Medium</t>
        </is>
      </c>
      <c r="R162" s="2" t="inlineStr">
        <is>
          <t>Not applicable</t>
        </is>
      </c>
      <c r="S162" s="2" t="inlineStr">
        <is>
          <t>Medium</t>
        </is>
      </c>
      <c r="T162" s="2" t="inlineStr">
        <is>
          <t>UNESCO</t>
        </is>
      </c>
      <c r="U162" s="8" t="inlineStr">
        <is>
          <t>https://whc.unesco.org/</t>
        </is>
      </c>
      <c r="V162" s="2" t="inlineStr">
        <is>
          <t>UNESCO</t>
        </is>
      </c>
      <c r="W162" s="8" t="inlineStr">
        <is>
          <t>https://whc.unesco.org/</t>
        </is>
      </c>
      <c r="X162" s="2" t="inlineStr">
        <is>
          <t>British Museum Collection</t>
        </is>
      </c>
      <c r="Y162" s="8" t="inlineStr">
        <is>
          <t>https://www.britishmuseum.org/collection</t>
        </is>
      </c>
      <c r="Z162" s="2" t="inlineStr">
        <is>
          <t>UNESCO</t>
        </is>
      </c>
      <c r="AA162" s="8" t="inlineStr">
        <is>
          <t>https://whc.unesco.org/</t>
        </is>
      </c>
      <c r="AB162" s="2" t="inlineStr">
        <is>
          <t>Pleiades</t>
        </is>
      </c>
      <c r="AC162" s="8" t="inlineStr">
        <is>
          <t>https://pleiades.stoa.org/</t>
        </is>
      </c>
      <c r="AD162" s="2" t="inlineStr">
        <is>
          <t>Eleusis archaeology</t>
        </is>
      </c>
      <c r="AE162" s="2" t="inlineStr">
        <is>
          <t>Text evidence is indirect due to secrecy.</t>
        </is>
      </c>
      <c r="AF162" s="2" t="inlineStr">
        <is>
          <t>Mysteries; underworld return</t>
        </is>
      </c>
      <c r="AG162" s="2" t="inlineStr">
        <is>
          <t>High</t>
        </is>
      </c>
      <c r="AH162" s="2" t="inlineStr">
        <is>
          <t>Medium</t>
        </is>
      </c>
      <c r="AI162" s="2" t="inlineStr"/>
      <c r="AJ162" t="inlineStr">
        <is>
          <t>https://whc.unesco.org/en/search/?searchterm=Eleusis+archaeology</t>
        </is>
      </c>
      <c r="AK162" t="inlineStr">
        <is>
          <t>https://whc.unesco.org/en/search/?searchterm=Eleusis+archaeology</t>
        </is>
      </c>
      <c r="AL162" t="inlineStr">
        <is>
          <t>https://www.britishmuseum.org/collection/search?keyword=Eleusis+archaeology</t>
        </is>
      </c>
      <c r="AM162" t="inlineStr">
        <is>
          <t>https://whc.unesco.org/en/search/?searchterm=Eleusis+archaeology</t>
        </is>
      </c>
      <c r="AN162" t="inlineStr">
        <is>
          <t>https://pleiades.stoa.org/search?SearchableText=Eleusis+archaeology</t>
        </is>
      </c>
      <c r="AO162" t="inlineStr">
        <is>
          <t>1) Fact base: UNESCO. 2) Translation/text: UNESCO. 3) Images/objects: British Museum Collection. 4) Context/explanation: UNESCO. 5) Geography/maps: Pleiades. Use Suggested_Search_Term inside each portal.</t>
        </is>
      </c>
      <c r="AP162" t="inlineStr">
        <is>
          <t>Mixed: direct portal homepages plus search-result URLs where the portal exposes a public search endpoint.</t>
        </is>
      </c>
    </row>
    <row r="163">
      <c r="A163" s="2" t="n">
        <v>162</v>
      </c>
      <c r="B163" s="7" t="inlineStr">
        <is>
          <t>BCE_to_1AD</t>
        </is>
      </c>
      <c r="C163" s="2" t="inlineStr">
        <is>
          <t>Aegean / Greece / Italy</t>
        </is>
      </c>
      <c r="D163" s="2" t="inlineStr">
        <is>
          <t>Mediterranean classical traditions</t>
        </is>
      </c>
      <c r="E163" s="2" t="n">
        <v>-1200</v>
      </c>
      <c r="F163" s="2" t="n">
        <v>-200</v>
      </c>
      <c r="G163" s="2" t="inlineStr">
        <is>
          <t>c. 1200 BCE to 200 BCE</t>
        </is>
      </c>
      <c r="H163" s="2" t="inlineStr">
        <is>
          <t>Dodona</t>
        </is>
      </c>
      <c r="I163" s="2" t="inlineStr">
        <is>
          <t>Site</t>
        </is>
      </c>
      <c r="J163" s="2" t="inlineStr">
        <is>
          <t>Archaeology</t>
        </is>
      </c>
      <c r="K163" s="2" t="inlineStr">
        <is>
          <t>Oracle</t>
        </is>
      </c>
      <c r="L163" s="2" t="inlineStr">
        <is>
          <t>Sacred trees</t>
        </is>
      </c>
      <c r="M163" s="2" t="inlineStr">
        <is>
          <t>Greece</t>
        </is>
      </c>
      <c r="N163" s="2" t="inlineStr">
        <is>
          <t>Epirus</t>
        </is>
      </c>
      <c r="O163" s="2" t="inlineStr">
        <is>
          <t>Ancient sanctuary where divine messages were associated with oak and sound.</t>
        </is>
      </c>
      <c r="P163" s="2" t="inlineStr">
        <is>
          <t>Excellent for archaic divination and sacred nature.</t>
        </is>
      </c>
      <c r="Q163" s="2" t="inlineStr">
        <is>
          <t>Low</t>
        </is>
      </c>
      <c r="R163" s="2" t="inlineStr">
        <is>
          <t>Not applicable</t>
        </is>
      </c>
      <c r="S163" s="2" t="inlineStr">
        <is>
          <t>Medium</t>
        </is>
      </c>
      <c r="T163" s="2" t="inlineStr">
        <is>
          <t>UNESCO</t>
        </is>
      </c>
      <c r="U163" s="8" t="inlineStr">
        <is>
          <t>https://whc.unesco.org/</t>
        </is>
      </c>
      <c r="V163" s="2" t="inlineStr">
        <is>
          <t>UNESCO</t>
        </is>
      </c>
      <c r="W163" s="8" t="inlineStr">
        <is>
          <t>https://whc.unesco.org/</t>
        </is>
      </c>
      <c r="X163" s="2" t="inlineStr">
        <is>
          <t>British Museum Collection</t>
        </is>
      </c>
      <c r="Y163" s="8" t="inlineStr">
        <is>
          <t>https://www.britishmuseum.org/collection</t>
        </is>
      </c>
      <c r="Z163" s="2" t="inlineStr">
        <is>
          <t>UNESCO</t>
        </is>
      </c>
      <c r="AA163" s="8" t="inlineStr">
        <is>
          <t>https://whc.unesco.org/</t>
        </is>
      </c>
      <c r="AB163" s="2" t="inlineStr">
        <is>
          <t>Pleiades</t>
        </is>
      </c>
      <c r="AC163" s="8" t="inlineStr">
        <is>
          <t>https://pleiades.stoa.org/</t>
        </is>
      </c>
      <c r="AD163" s="2" t="inlineStr">
        <is>
          <t>Dodona archaeology</t>
        </is>
      </c>
      <c r="AE163" s="2" t="inlineStr">
        <is>
          <t>Useful contrast to Delphi.</t>
        </is>
      </c>
      <c r="AF163" s="2" t="inlineStr">
        <is>
          <t>Sacred trees; divination</t>
        </is>
      </c>
      <c r="AG163" s="2" t="inlineStr">
        <is>
          <t>Low</t>
        </is>
      </c>
      <c r="AH163" s="2" t="inlineStr">
        <is>
          <t>Low</t>
        </is>
      </c>
      <c r="AI163" s="2" t="inlineStr"/>
      <c r="AJ163" t="inlineStr">
        <is>
          <t>https://whc.unesco.org/en/search/?searchterm=Dodona+archaeology</t>
        </is>
      </c>
      <c r="AK163" t="inlineStr">
        <is>
          <t>https://whc.unesco.org/en/search/?searchterm=Dodona+archaeology</t>
        </is>
      </c>
      <c r="AL163" t="inlineStr">
        <is>
          <t>https://www.britishmuseum.org/collection/search?keyword=Dodona+archaeology</t>
        </is>
      </c>
      <c r="AM163" t="inlineStr">
        <is>
          <t>https://whc.unesco.org/en/search/?searchterm=Dodona+archaeology</t>
        </is>
      </c>
      <c r="AN163" t="inlineStr">
        <is>
          <t>https://pleiades.stoa.org/search?SearchableText=Dodona+archaeology</t>
        </is>
      </c>
      <c r="AO163" t="inlineStr">
        <is>
          <t>1) Fact base: UNESCO. 2) Translation/text: UNESCO. 3) Images/objects: British Museum Collection. 4) Context/explanation: UNESCO. 5) Geography/maps: Pleiades. Use Suggested_Search_Term inside each portal.</t>
        </is>
      </c>
      <c r="AP163" t="inlineStr">
        <is>
          <t>Mixed: direct portal homepages plus search-result URLs where the portal exposes a public search endpoint.</t>
        </is>
      </c>
    </row>
    <row r="164">
      <c r="A164" s="2" t="n">
        <v>163</v>
      </c>
      <c r="B164" s="7" t="inlineStr">
        <is>
          <t>BCE_to_1AD</t>
        </is>
      </c>
      <c r="C164" s="2" t="inlineStr">
        <is>
          <t>Aegean / Greece / Italy</t>
        </is>
      </c>
      <c r="D164" s="2" t="inlineStr">
        <is>
          <t>Mediterranean classical traditions</t>
        </is>
      </c>
      <c r="E164" s="2" t="n">
        <v>-400</v>
      </c>
      <c r="F164" s="2" t="n">
        <v>-350</v>
      </c>
      <c r="G164" s="2" t="inlineStr">
        <is>
          <t>c. 400 BCE to 350 BCE</t>
        </is>
      </c>
      <c r="H164" s="2" t="inlineStr">
        <is>
          <t>Plato's Timaeus</t>
        </is>
      </c>
      <c r="I164" s="2" t="inlineStr">
        <is>
          <t>Text</t>
        </is>
      </c>
      <c r="J164" s="2" t="inlineStr">
        <is>
          <t>Philosophical dialogue</t>
        </is>
      </c>
      <c r="K164" s="2" t="inlineStr">
        <is>
          <t>Cosmology</t>
        </is>
      </c>
      <c r="L164" s="2" t="inlineStr">
        <is>
          <t>Atlantis source</t>
        </is>
      </c>
      <c r="M164" s="2" t="inlineStr">
        <is>
          <t>Greece</t>
        </is>
      </c>
      <c r="N164" s="2" t="inlineStr">
        <is>
          <t>Classical Athens</t>
        </is>
      </c>
      <c r="O164" s="2" t="inlineStr">
        <is>
          <t>Dialogue presenting cosmology and a framing account leading into Atlantis material.</t>
        </is>
      </c>
      <c r="P164" s="2" t="inlineStr">
        <is>
          <t>Primary source for any Atlantis reconstruction—everything else is derivative.</t>
        </is>
      </c>
      <c r="Q164" s="2" t="inlineStr">
        <is>
          <t>High</t>
        </is>
      </c>
      <c r="R164" s="2" t="inlineStr">
        <is>
          <t>High</t>
        </is>
      </c>
      <c r="S164" s="2" t="inlineStr">
        <is>
          <t>Low</t>
        </is>
      </c>
      <c r="T164" s="2" t="inlineStr">
        <is>
          <t>Perseus</t>
        </is>
      </c>
      <c r="U164" s="8" t="inlineStr">
        <is>
          <t>https://www.perseus.tufts.edu/hopper/</t>
        </is>
      </c>
      <c r="V164" s="2" t="inlineStr">
        <is>
          <t>Perseus</t>
        </is>
      </c>
      <c r="W164" s="8" t="inlineStr">
        <is>
          <t>https://www.perseus.tufts.edu/hopper/</t>
        </is>
      </c>
      <c r="X164" s="2" t="inlineStr">
        <is>
          <t>British Museum Collection</t>
        </is>
      </c>
      <c r="Y164" s="8" t="inlineStr">
        <is>
          <t>https://www.britishmuseum.org/collection</t>
        </is>
      </c>
      <c r="Z164" s="2" t="inlineStr">
        <is>
          <t>UNESCO</t>
        </is>
      </c>
      <c r="AA164" s="8" t="inlineStr">
        <is>
          <t>https://whc.unesco.org/</t>
        </is>
      </c>
      <c r="AB164" s="2" t="inlineStr">
        <is>
          <t>Pleiades</t>
        </is>
      </c>
      <c r="AC164" s="8" t="inlineStr">
        <is>
          <t>https://pleiades.stoa.org/</t>
        </is>
      </c>
      <c r="AD164" s="2" t="inlineStr">
        <is>
          <t>Timaeus Perseus</t>
        </is>
      </c>
      <c r="AE164" s="2" t="inlineStr">
        <is>
          <t>Philosophical context is essential.</t>
        </is>
      </c>
      <c r="AF164" s="2" t="inlineStr">
        <is>
          <t>Atlantis; cosmology</t>
        </is>
      </c>
      <c r="AG164" s="2" t="inlineStr">
        <is>
          <t>Critical</t>
        </is>
      </c>
      <c r="AH164" s="2" t="inlineStr">
        <is>
          <t>High</t>
        </is>
      </c>
      <c r="AI164" s="2" t="inlineStr"/>
      <c r="AJ164" t="inlineStr">
        <is>
          <t>https://www.perseus.tufts.edu/hopper/</t>
        </is>
      </c>
      <c r="AK164" t="inlineStr">
        <is>
          <t>https://www.perseus.tufts.edu/hopper/</t>
        </is>
      </c>
      <c r="AL164" t="inlineStr">
        <is>
          <t>https://www.britishmuseum.org/collection/search?keyword=Timaeus+Perseus</t>
        </is>
      </c>
      <c r="AM164" t="inlineStr">
        <is>
          <t>https://whc.unesco.org/en/search/?searchterm=Timaeus+Perseus</t>
        </is>
      </c>
      <c r="AN164" t="inlineStr">
        <is>
          <t>https://pleiades.stoa.org/search?SearchableText=Timaeus+Perseus</t>
        </is>
      </c>
      <c r="AO164" t="inlineStr">
        <is>
          <t>1) Fact base: Perseus. 2) Translation/text: Perseus. 3) Images/objects: British Museum Collection. 4) Context/explanation: UNESCO. 5) Geography/maps: Pleiades. Use Suggested_Search_Term inside each portal.</t>
        </is>
      </c>
      <c r="AP164" t="inlineStr">
        <is>
          <t>Mixed: direct portal homepages plus search-result URLs where the portal exposes a public search endpoint.</t>
        </is>
      </c>
    </row>
    <row r="165">
      <c r="A165" s="2" t="n">
        <v>164</v>
      </c>
      <c r="B165" s="7" t="inlineStr">
        <is>
          <t>BCE_to_1AD</t>
        </is>
      </c>
      <c r="C165" s="2" t="inlineStr">
        <is>
          <t>Aegean / Greece / Italy</t>
        </is>
      </c>
      <c r="D165" s="2" t="inlineStr">
        <is>
          <t>Mediterranean classical traditions</t>
        </is>
      </c>
      <c r="E165" s="2" t="n">
        <v>-360</v>
      </c>
      <c r="F165" s="2" t="n">
        <v>-350</v>
      </c>
      <c r="G165" s="2" t="inlineStr">
        <is>
          <t>c. 360 BCE to 350 BCE</t>
        </is>
      </c>
      <c r="H165" s="2" t="inlineStr">
        <is>
          <t>Plato's Critias</t>
        </is>
      </c>
      <c r="I165" s="2" t="inlineStr">
        <is>
          <t>Text</t>
        </is>
      </c>
      <c r="J165" s="2" t="inlineStr">
        <is>
          <t>Philosophical dialogue</t>
        </is>
      </c>
      <c r="K165" s="2" t="inlineStr">
        <is>
          <t>Atlantis</t>
        </is>
      </c>
      <c r="L165" s="2" t="inlineStr">
        <is>
          <t>Ancient ideal state</t>
        </is>
      </c>
      <c r="M165" s="2" t="inlineStr">
        <is>
          <t>Greece</t>
        </is>
      </c>
      <c r="N165" s="2" t="inlineStr">
        <is>
          <t>Classical Athens</t>
        </is>
      </c>
      <c r="O165" s="2" t="inlineStr">
        <is>
          <t>Dialogue preserving the core Atlantis narrative in unfinished form.</t>
        </is>
      </c>
      <c r="P165" s="2" t="inlineStr">
        <is>
          <t>Mandatory source for Atlantis rather than later retellings.</t>
        </is>
      </c>
      <c r="Q165" s="2" t="inlineStr">
        <is>
          <t>High</t>
        </is>
      </c>
      <c r="R165" s="2" t="inlineStr">
        <is>
          <t>High</t>
        </is>
      </c>
      <c r="S165" s="2" t="inlineStr">
        <is>
          <t>Low</t>
        </is>
      </c>
      <c r="T165" s="2" t="inlineStr">
        <is>
          <t>Perseus</t>
        </is>
      </c>
      <c r="U165" s="8" t="inlineStr">
        <is>
          <t>https://www.perseus.tufts.edu/hopper/</t>
        </is>
      </c>
      <c r="V165" s="2" t="inlineStr">
        <is>
          <t>Perseus</t>
        </is>
      </c>
      <c r="W165" s="8" t="inlineStr">
        <is>
          <t>https://www.perseus.tufts.edu/hopper/</t>
        </is>
      </c>
      <c r="X165" s="2" t="inlineStr">
        <is>
          <t>British Museum Collection</t>
        </is>
      </c>
      <c r="Y165" s="8" t="inlineStr">
        <is>
          <t>https://www.britishmuseum.org/collection</t>
        </is>
      </c>
      <c r="Z165" s="2" t="inlineStr">
        <is>
          <t>UNESCO</t>
        </is>
      </c>
      <c r="AA165" s="8" t="inlineStr">
        <is>
          <t>https://whc.unesco.org/</t>
        </is>
      </c>
      <c r="AB165" s="2" t="inlineStr">
        <is>
          <t>Pleiades</t>
        </is>
      </c>
      <c r="AC165" s="8" t="inlineStr">
        <is>
          <t>https://pleiades.stoa.org/</t>
        </is>
      </c>
      <c r="AD165" s="2" t="inlineStr">
        <is>
          <t>Critias Perseus</t>
        </is>
      </c>
      <c r="AE165" s="2" t="inlineStr">
        <is>
          <t>Use directly, not paraphrase chains.</t>
        </is>
      </c>
      <c r="AF165" s="2" t="inlineStr">
        <is>
          <t>Atlantis; catastrophe; memory</t>
        </is>
      </c>
      <c r="AG165" s="2" t="inlineStr">
        <is>
          <t>Critical</t>
        </is>
      </c>
      <c r="AH165" s="2" t="inlineStr">
        <is>
          <t>High</t>
        </is>
      </c>
      <c r="AI165" s="2" t="inlineStr"/>
      <c r="AJ165" t="inlineStr">
        <is>
          <t>https://www.perseus.tufts.edu/hopper/</t>
        </is>
      </c>
      <c r="AK165" t="inlineStr">
        <is>
          <t>https://www.perseus.tufts.edu/hopper/</t>
        </is>
      </c>
      <c r="AL165" t="inlineStr">
        <is>
          <t>https://www.britishmuseum.org/collection/search?keyword=Critias+Perseus</t>
        </is>
      </c>
      <c r="AM165" t="inlineStr">
        <is>
          <t>https://whc.unesco.org/en/search/?searchterm=Critias+Perseus</t>
        </is>
      </c>
      <c r="AN165" t="inlineStr">
        <is>
          <t>https://pleiades.stoa.org/search?SearchableText=Critias+Perseus</t>
        </is>
      </c>
      <c r="AO165" t="inlineStr">
        <is>
          <t>1) Fact base: Perseus. 2) Translation/text: Perseus. 3) Images/objects: British Museum Collection. 4) Context/explanation: UNESCO. 5) Geography/maps: Pleiades. Use Suggested_Search_Term inside each portal.</t>
        </is>
      </c>
      <c r="AP165" t="inlineStr">
        <is>
          <t>Mixed: direct portal homepages plus search-result URLs where the portal exposes a public search endpoint.</t>
        </is>
      </c>
    </row>
    <row r="166">
      <c r="A166" s="2" t="n">
        <v>165</v>
      </c>
      <c r="B166" s="7" t="inlineStr">
        <is>
          <t>BCE_to_1AD</t>
        </is>
      </c>
      <c r="C166" s="2" t="inlineStr">
        <is>
          <t>Aegean / Greece / Italy</t>
        </is>
      </c>
      <c r="D166" s="2" t="inlineStr">
        <is>
          <t>Mediterranean classical traditions</t>
        </is>
      </c>
      <c r="E166" s="2" t="n">
        <v>-300</v>
      </c>
      <c r="F166" s="2" t="n">
        <v>-100</v>
      </c>
      <c r="G166" s="2" t="inlineStr">
        <is>
          <t>c. 300 BCE to 100 BCE</t>
        </is>
      </c>
      <c r="H166" s="2" t="inlineStr">
        <is>
          <t>Orphic Gold Tablets</t>
        </is>
      </c>
      <c r="I166" s="2" t="inlineStr">
        <is>
          <t>Artifact corpus</t>
        </is>
      </c>
      <c r="J166" s="2" t="inlineStr">
        <is>
          <t>Inscribed leaves</t>
        </is>
      </c>
      <c r="K166" s="2" t="inlineStr">
        <is>
          <t>Afterlife</t>
        </is>
      </c>
      <c r="L166" s="2" t="inlineStr">
        <is>
          <t>Mystery traditions</t>
        </is>
      </c>
      <c r="M166" s="2" t="inlineStr">
        <is>
          <t>Greece / Magna Graecia</t>
        </is>
      </c>
      <c r="N166" s="2" t="inlineStr">
        <is>
          <t>Greek ritual spheres</t>
        </is>
      </c>
      <c r="O166" s="2" t="inlineStr">
        <is>
          <t>Small inscriptions placed with the dead offering guidance in the afterlife.</t>
        </is>
      </c>
      <c r="P166" s="2" t="inlineStr">
        <is>
          <t>Excellent direct texts for esoteric Greek afterlife beliefs.</t>
        </is>
      </c>
      <c r="Q166" s="2" t="inlineStr">
        <is>
          <t>Medium</t>
        </is>
      </c>
      <c r="R166" s="2" t="inlineStr">
        <is>
          <t>High</t>
        </is>
      </c>
      <c r="S166" s="2" t="inlineStr">
        <is>
          <t>High</t>
        </is>
      </c>
      <c r="T166" s="2" t="inlineStr">
        <is>
          <t>UNESCO</t>
        </is>
      </c>
      <c r="U166" s="8" t="inlineStr">
        <is>
          <t>https://whc.unesco.org/</t>
        </is>
      </c>
      <c r="V166" s="2" t="inlineStr">
        <is>
          <t>UNESCO</t>
        </is>
      </c>
      <c r="W166" s="8" t="inlineStr">
        <is>
          <t>https://whc.unesco.org/</t>
        </is>
      </c>
      <c r="X166" s="2" t="inlineStr">
        <is>
          <t>British Museum Collection</t>
        </is>
      </c>
      <c r="Y166" s="8" t="inlineStr">
        <is>
          <t>https://www.britishmuseum.org/collection</t>
        </is>
      </c>
      <c r="Z166" s="2" t="inlineStr">
        <is>
          <t>UNESCO</t>
        </is>
      </c>
      <c r="AA166" s="8" t="inlineStr">
        <is>
          <t>https://whc.unesco.org/</t>
        </is>
      </c>
      <c r="AB166" s="2" t="inlineStr">
        <is>
          <t>Pleiades</t>
        </is>
      </c>
      <c r="AC166" s="8" t="inlineStr">
        <is>
          <t>https://pleiades.stoa.org/</t>
        </is>
      </c>
      <c r="AD166" s="2" t="inlineStr">
        <is>
          <t>Orphic gold tablets</t>
        </is>
      </c>
      <c r="AE166" s="2" t="inlineStr">
        <is>
          <t>Fragmentary but powerful primary material.</t>
        </is>
      </c>
      <c r="AF166" s="2" t="inlineStr">
        <is>
          <t>Afterlife instructions; initiation</t>
        </is>
      </c>
      <c r="AG166" s="2" t="inlineStr">
        <is>
          <t>High</t>
        </is>
      </c>
      <c r="AH166" s="2" t="inlineStr">
        <is>
          <t>Medium</t>
        </is>
      </c>
      <c r="AI166" s="2" t="inlineStr"/>
      <c r="AJ166" t="inlineStr">
        <is>
          <t>https://whc.unesco.org/en/search/?searchterm=Orphic+gold+tablets</t>
        </is>
      </c>
      <c r="AK166" t="inlineStr">
        <is>
          <t>https://whc.unesco.org/en/search/?searchterm=Orphic+gold+tablets</t>
        </is>
      </c>
      <c r="AL166" t="inlineStr">
        <is>
          <t>https://www.britishmuseum.org/collection/search?keyword=Orphic+gold+tablets</t>
        </is>
      </c>
      <c r="AM166" t="inlineStr">
        <is>
          <t>https://whc.unesco.org/en/search/?searchterm=Orphic+gold+tablets</t>
        </is>
      </c>
      <c r="AN166" t="inlineStr">
        <is>
          <t>https://pleiades.stoa.org/search?SearchableText=Orphic+gold+tablets</t>
        </is>
      </c>
      <c r="AO166" t="inlineStr">
        <is>
          <t>1) Fact base: UNESCO. 2) Translation/text: UNESCO. 3) Images/objects: British Museum Collection. 4) Context/explanation: UNESCO. 5) Geography/maps: Pleiades. Use Suggested_Search_Term inside each portal.</t>
        </is>
      </c>
      <c r="AP166" t="inlineStr">
        <is>
          <t>Mixed: direct portal homepages plus search-result URLs where the portal exposes a public search endpoint.</t>
        </is>
      </c>
    </row>
    <row r="167">
      <c r="A167" s="2" t="n">
        <v>166</v>
      </c>
      <c r="B167" s="7" t="inlineStr">
        <is>
          <t>BCE_to_1AD</t>
        </is>
      </c>
      <c r="C167" s="2" t="inlineStr">
        <is>
          <t>Aegean / Greece / Italy</t>
        </is>
      </c>
      <c r="D167" s="2" t="inlineStr">
        <is>
          <t>Mediterranean classical traditions</t>
        </is>
      </c>
      <c r="E167" s="2" t="n">
        <v>-150</v>
      </c>
      <c r="F167" s="2" t="n">
        <v>-60</v>
      </c>
      <c r="G167" s="2" t="inlineStr">
        <is>
          <t>c. 150 BCE to 60 BCE</t>
        </is>
      </c>
      <c r="H167" s="2" t="inlineStr">
        <is>
          <t>Antikythera Mechanism</t>
        </is>
      </c>
      <c r="I167" s="2" t="inlineStr">
        <is>
          <t>Artifact</t>
        </is>
      </c>
      <c r="J167" s="2" t="inlineStr">
        <is>
          <t>Bronze geared device</t>
        </is>
      </c>
      <c r="K167" s="2" t="inlineStr">
        <is>
          <t>Astronomy</t>
        </is>
      </c>
      <c r="L167" s="2" t="inlineStr">
        <is>
          <t>Technology</t>
        </is>
      </c>
      <c r="M167" s="2" t="inlineStr">
        <is>
          <t>Greece</t>
        </is>
      </c>
      <c r="N167" s="2" t="inlineStr">
        <is>
          <t>Hellenistic world</t>
        </is>
      </c>
      <c r="O167" s="2" t="inlineStr">
        <is>
          <t>Ancient geared mechanism modeling astronomical cycles.</t>
        </is>
      </c>
      <c r="P167" s="2" t="inlineStr">
        <is>
          <t>Frequently cited in anomalous-technology arguments.</t>
        </is>
      </c>
      <c r="Q167" s="2" t="inlineStr">
        <is>
          <t>High</t>
        </is>
      </c>
      <c r="R167" s="2" t="inlineStr">
        <is>
          <t>Not applicable</t>
        </is>
      </c>
      <c r="S167" s="2" t="inlineStr">
        <is>
          <t>High</t>
        </is>
      </c>
      <c r="T167" s="2" t="inlineStr">
        <is>
          <t>UNESCO</t>
        </is>
      </c>
      <c r="U167" s="8" t="inlineStr">
        <is>
          <t>https://whc.unesco.org/</t>
        </is>
      </c>
      <c r="V167" s="2" t="inlineStr">
        <is>
          <t>UNESCO</t>
        </is>
      </c>
      <c r="W167" s="8" t="inlineStr">
        <is>
          <t>https://whc.unesco.org/</t>
        </is>
      </c>
      <c r="X167" s="2" t="inlineStr">
        <is>
          <t>British Museum Collection</t>
        </is>
      </c>
      <c r="Y167" s="8" t="inlineStr">
        <is>
          <t>https://www.britishmuseum.org/collection</t>
        </is>
      </c>
      <c r="Z167" s="2" t="inlineStr">
        <is>
          <t>UNESCO</t>
        </is>
      </c>
      <c r="AA167" s="8" t="inlineStr">
        <is>
          <t>https://whc.unesco.org/</t>
        </is>
      </c>
      <c r="AB167" s="2" t="inlineStr">
        <is>
          <t>Pleiades</t>
        </is>
      </c>
      <c r="AC167" s="8" t="inlineStr">
        <is>
          <t>https://pleiades.stoa.org/</t>
        </is>
      </c>
      <c r="AD167" s="2" t="inlineStr">
        <is>
          <t>Antikythera Mechanism</t>
        </is>
      </c>
      <c r="AE167" s="2" t="inlineStr">
        <is>
          <t>Best approached through object imaging and reconstruction studies.</t>
        </is>
      </c>
      <c r="AF167" s="2" t="inlineStr">
        <is>
          <t>Calendrics; astronomy; technology</t>
        </is>
      </c>
      <c r="AG167" s="2" t="inlineStr">
        <is>
          <t>Critical</t>
        </is>
      </c>
      <c r="AH167" s="2" t="inlineStr">
        <is>
          <t>High</t>
        </is>
      </c>
      <c r="AI167" s="2" t="inlineStr"/>
      <c r="AJ167" t="inlineStr">
        <is>
          <t>https://whc.unesco.org/en/search/?searchterm=Antikythera+Mechanism</t>
        </is>
      </c>
      <c r="AK167" t="inlineStr">
        <is>
          <t>https://whc.unesco.org/en/search/?searchterm=Antikythera+Mechanism</t>
        </is>
      </c>
      <c r="AL167" t="inlineStr">
        <is>
          <t>https://www.britishmuseum.org/collection/search?keyword=Antikythera+Mechanism</t>
        </is>
      </c>
      <c r="AM167" t="inlineStr">
        <is>
          <t>https://whc.unesco.org/en/search/?searchterm=Antikythera+Mechanism</t>
        </is>
      </c>
      <c r="AN167" t="inlineStr">
        <is>
          <t>https://pleiades.stoa.org/search?SearchableText=Antikythera+Mechanism</t>
        </is>
      </c>
      <c r="AO167" t="inlineStr">
        <is>
          <t>1) Fact base: UNESCO. 2) Translation/text: UNESCO. 3) Images/objects: British Museum Collection. 4) Context/explanation: UNESCO. 5) Geography/maps: Pleiades. Use Suggested_Search_Term inside each portal.</t>
        </is>
      </c>
      <c r="AP167" t="inlineStr">
        <is>
          <t>Mixed: direct portal homepages plus search-result URLs where the portal exposes a public search endpoint.</t>
        </is>
      </c>
    </row>
    <row r="168">
      <c r="A168" s="2" t="n">
        <v>167</v>
      </c>
      <c r="B168" s="7" t="inlineStr">
        <is>
          <t>BCE_to_1AD</t>
        </is>
      </c>
      <c r="C168" s="2" t="inlineStr">
        <is>
          <t>Aegean / Greece / Italy</t>
        </is>
      </c>
      <c r="D168" s="2" t="inlineStr">
        <is>
          <t>Mediterranean classical traditions</t>
        </is>
      </c>
      <c r="E168" s="2" t="n">
        <v>-700</v>
      </c>
      <c r="F168" s="2" t="n">
        <v>-100</v>
      </c>
      <c r="G168" s="2" t="inlineStr">
        <is>
          <t>c. 700 BCE to 100 BCE</t>
        </is>
      </c>
      <c r="H168" s="2" t="inlineStr">
        <is>
          <t>Etruscan inscriptions</t>
        </is>
      </c>
      <c r="I168" s="2" t="inlineStr">
        <is>
          <t>Inscription corpus</t>
        </is>
      </c>
      <c r="J168" s="2" t="inlineStr">
        <is>
          <t>Stone/metal texts</t>
        </is>
      </c>
      <c r="K168" s="2" t="inlineStr">
        <is>
          <t>Language</t>
        </is>
      </c>
      <c r="L168" s="2" t="inlineStr">
        <is>
          <t>Ritual</t>
        </is>
      </c>
      <c r="M168" s="2" t="inlineStr">
        <is>
          <t>Italy</t>
        </is>
      </c>
      <c r="N168" s="2" t="inlineStr">
        <is>
          <t>Etruria</t>
        </is>
      </c>
      <c r="O168" s="2" t="inlineStr">
        <is>
          <t>Corpus of inscriptions from pre-Roman Italy preserving language, names, and some ritual terms.</t>
        </is>
      </c>
      <c r="P168" s="2" t="inlineStr">
        <is>
          <t>Important non-Greek/non-Roman Italian worldview source.</t>
        </is>
      </c>
      <c r="Q168" s="2" t="inlineStr">
        <is>
          <t>Low</t>
        </is>
      </c>
      <c r="R168" s="2" t="inlineStr">
        <is>
          <t>Partial</t>
        </is>
      </c>
      <c r="S168" s="2" t="inlineStr">
        <is>
          <t>Medium</t>
        </is>
      </c>
      <c r="T168" s="2" t="inlineStr">
        <is>
          <t>UNESCO</t>
        </is>
      </c>
      <c r="U168" s="8" t="inlineStr">
        <is>
          <t>https://whc.unesco.org/</t>
        </is>
      </c>
      <c r="V168" s="2" t="inlineStr">
        <is>
          <t>UNESCO</t>
        </is>
      </c>
      <c r="W168" s="8" t="inlineStr">
        <is>
          <t>https://whc.unesco.org/</t>
        </is>
      </c>
      <c r="X168" s="2" t="inlineStr">
        <is>
          <t>British Museum Collection</t>
        </is>
      </c>
      <c r="Y168" s="8" t="inlineStr">
        <is>
          <t>https://www.britishmuseum.org/collection</t>
        </is>
      </c>
      <c r="Z168" s="2" t="inlineStr">
        <is>
          <t>UNESCO</t>
        </is>
      </c>
      <c r="AA168" s="8" t="inlineStr">
        <is>
          <t>https://whc.unesco.org/</t>
        </is>
      </c>
      <c r="AB168" s="2" t="inlineStr">
        <is>
          <t>Pleiades</t>
        </is>
      </c>
      <c r="AC168" s="8" t="inlineStr">
        <is>
          <t>https://pleiades.stoa.org/</t>
        </is>
      </c>
      <c r="AD168" s="2" t="inlineStr">
        <is>
          <t>Etruscan inscriptions</t>
        </is>
      </c>
      <c r="AE168" s="2" t="inlineStr">
        <is>
          <t>Translation is limited by corpus and language gaps.</t>
        </is>
      </c>
      <c r="AF168" s="2" t="inlineStr">
        <is>
          <t>Language isolates; ritual</t>
        </is>
      </c>
      <c r="AG168" s="2" t="inlineStr">
        <is>
          <t>Medium</t>
        </is>
      </c>
      <c r="AH168" s="2" t="inlineStr">
        <is>
          <t>Low</t>
        </is>
      </c>
      <c r="AI168" s="2" t="inlineStr"/>
      <c r="AJ168" t="inlineStr">
        <is>
          <t>https://whc.unesco.org/en/search/?searchterm=Etruscan+inscriptions</t>
        </is>
      </c>
      <c r="AK168" t="inlineStr">
        <is>
          <t>https://whc.unesco.org/en/search/?searchterm=Etruscan+inscriptions</t>
        </is>
      </c>
      <c r="AL168" t="inlineStr">
        <is>
          <t>https://www.britishmuseum.org/collection/search?keyword=Etruscan+inscriptions</t>
        </is>
      </c>
      <c r="AM168" t="inlineStr">
        <is>
          <t>https://whc.unesco.org/en/search/?searchterm=Etruscan+inscriptions</t>
        </is>
      </c>
      <c r="AN168" t="inlineStr">
        <is>
          <t>https://pleiades.stoa.org/search?SearchableText=Etruscan+inscriptions</t>
        </is>
      </c>
      <c r="AO168" t="inlineStr">
        <is>
          <t>1) Fact base: UNESCO. 2) Translation/text: UNESCO. 3) Images/objects: British Museum Collection. 4) Context/explanation: UNESCO. 5) Geography/maps: Pleiades. Use Suggested_Search_Term inside each portal.</t>
        </is>
      </c>
      <c r="AP168" t="inlineStr">
        <is>
          <t>Mixed: direct portal homepages plus search-result URLs where the portal exposes a public search endpoint.</t>
        </is>
      </c>
    </row>
    <row r="169">
      <c r="A169" s="2" t="n">
        <v>168</v>
      </c>
      <c r="B169" s="7" t="inlineStr">
        <is>
          <t>BCE_to_1AD</t>
        </is>
      </c>
      <c r="C169" s="2" t="inlineStr">
        <is>
          <t>Aegean / Greece / Italy</t>
        </is>
      </c>
      <c r="D169" s="2" t="inlineStr">
        <is>
          <t>Mediterranean classical traditions</t>
        </is>
      </c>
      <c r="E169" s="2" t="n">
        <v>-700</v>
      </c>
      <c r="F169" s="2" t="n">
        <v>-100</v>
      </c>
      <c r="G169" s="2" t="inlineStr">
        <is>
          <t>c. 700 BCE to 100 BCE</t>
        </is>
      </c>
      <c r="H169" s="2" t="inlineStr">
        <is>
          <t>Roman foundation legends (Romulus, Aeneas traditions)</t>
        </is>
      </c>
      <c r="I169" s="2" t="inlineStr">
        <is>
          <t>Legend / text cluster</t>
        </is>
      </c>
      <c r="J169" s="2" t="inlineStr">
        <is>
          <t>Later literary witnesses to older traditions</t>
        </is>
      </c>
      <c r="K169" s="2" t="inlineStr">
        <is>
          <t>Founding myths</t>
        </is>
      </c>
      <c r="L169" s="2" t="inlineStr">
        <is>
          <t>Dynastic memory</t>
        </is>
      </c>
      <c r="M169" s="2" t="inlineStr">
        <is>
          <t>Italy</t>
        </is>
      </c>
      <c r="N169" s="2" t="inlineStr">
        <is>
          <t>Rome and Latium</t>
        </is>
      </c>
      <c r="O169" s="2" t="inlineStr">
        <is>
          <t>Cluster of foundation narratives tying Rome to Trojan and local mythic pasts.</t>
        </is>
      </c>
      <c r="P169" s="2" t="inlineStr">
        <is>
          <t>Helpful for myth-history method and political memory.</t>
        </is>
      </c>
      <c r="Q169" s="2" t="inlineStr">
        <is>
          <t>Medium</t>
        </is>
      </c>
      <c r="R169" s="2" t="inlineStr">
        <is>
          <t>High</t>
        </is>
      </c>
      <c r="S169" s="2" t="inlineStr">
        <is>
          <t>Low</t>
        </is>
      </c>
      <c r="T169" s="2" t="inlineStr">
        <is>
          <t>Perseus</t>
        </is>
      </c>
      <c r="U169" s="8" t="inlineStr">
        <is>
          <t>https://www.perseus.tufts.edu/hopper/</t>
        </is>
      </c>
      <c r="V169" s="2" t="inlineStr">
        <is>
          <t>Perseus</t>
        </is>
      </c>
      <c r="W169" s="8" t="inlineStr">
        <is>
          <t>https://www.perseus.tufts.edu/hopper/</t>
        </is>
      </c>
      <c r="X169" s="2" t="inlineStr">
        <is>
          <t>British Museum Collection</t>
        </is>
      </c>
      <c r="Y169" s="8" t="inlineStr">
        <is>
          <t>https://www.britishmuseum.org/collection</t>
        </is>
      </c>
      <c r="Z169" s="2" t="inlineStr">
        <is>
          <t>UNESCO</t>
        </is>
      </c>
      <c r="AA169" s="8" t="inlineStr">
        <is>
          <t>https://whc.unesco.org/</t>
        </is>
      </c>
      <c r="AB169" s="2" t="inlineStr">
        <is>
          <t>Pleiades</t>
        </is>
      </c>
      <c r="AC169" s="8" t="inlineStr">
        <is>
          <t>https://pleiades.stoa.org/</t>
        </is>
      </c>
      <c r="AD169" s="2" t="inlineStr">
        <is>
          <t>Roman foundation myths</t>
        </is>
      </c>
      <c r="AE169" s="2" t="inlineStr">
        <is>
          <t>Most literary witnesses are late Republican/Imperial.</t>
        </is>
      </c>
      <c r="AF169" s="2" t="inlineStr">
        <is>
          <t>Founding twins; exile; destiny</t>
        </is>
      </c>
      <c r="AG169" s="2" t="inlineStr">
        <is>
          <t>Medium</t>
        </is>
      </c>
      <c r="AH169" s="2" t="inlineStr">
        <is>
          <t>Medium</t>
        </is>
      </c>
      <c r="AI169" s="2" t="inlineStr"/>
      <c r="AJ169" t="inlineStr">
        <is>
          <t>https://www.perseus.tufts.edu/hopper/</t>
        </is>
      </c>
      <c r="AK169" t="inlineStr">
        <is>
          <t>https://www.perseus.tufts.edu/hopper/</t>
        </is>
      </c>
      <c r="AL169" t="inlineStr">
        <is>
          <t>https://www.britishmuseum.org/collection/search?keyword=Roman+foundation+myths</t>
        </is>
      </c>
      <c r="AM169" t="inlineStr">
        <is>
          <t>https://whc.unesco.org/en/search/?searchterm=Roman+foundation+myths</t>
        </is>
      </c>
      <c r="AN169" t="inlineStr">
        <is>
          <t>https://pleiades.stoa.org/search?SearchableText=Roman+foundation+myths</t>
        </is>
      </c>
      <c r="AO169" t="inlineStr">
        <is>
          <t>1) Fact base: Perseus. 2) Translation/text: Perseus. 3) Images/objects: British Museum Collection. 4) Context/explanation: UNESCO. 5) Geography/maps: Pleiades. Use Suggested_Search_Term inside each portal.</t>
        </is>
      </c>
      <c r="AP169" t="inlineStr">
        <is>
          <t>Mixed: direct portal homepages plus search-result URLs where the portal exposes a public search endpoint.</t>
        </is>
      </c>
    </row>
    <row r="170">
      <c r="A170" s="2" t="n">
        <v>169</v>
      </c>
      <c r="B170" s="7" t="inlineStr">
        <is>
          <t>BCE_to_1AD</t>
        </is>
      </c>
      <c r="C170" s="2" t="inlineStr">
        <is>
          <t>Northern / Celtic Europe</t>
        </is>
      </c>
      <c r="D170" s="2" t="inlineStr">
        <is>
          <t>Celtic and Northern Europe</t>
        </is>
      </c>
      <c r="E170" s="2" t="n">
        <v>-800</v>
      </c>
      <c r="F170" s="2" t="n">
        <v>-450</v>
      </c>
      <c r="G170" s="2" t="inlineStr">
        <is>
          <t>c. 800 BCE to 450 BCE</t>
        </is>
      </c>
      <c r="H170" s="2" t="inlineStr">
        <is>
          <t>Hallstatt Culture</t>
        </is>
      </c>
      <c r="I170" s="2" t="inlineStr">
        <is>
          <t>Culture / archaeology</t>
        </is>
      </c>
      <c r="J170" s="2" t="inlineStr">
        <is>
          <t>Archaeology</t>
        </is>
      </c>
      <c r="K170" s="2" t="inlineStr">
        <is>
          <t>Iron Age elites</t>
        </is>
      </c>
      <c r="L170" s="2" t="inlineStr">
        <is>
          <t>Burials</t>
        </is>
      </c>
      <c r="M170" s="2" t="inlineStr">
        <is>
          <t>Austria and Central Europe</t>
        </is>
      </c>
      <c r="N170" s="2" t="inlineStr">
        <is>
          <t>Early Celtic sphere</t>
        </is>
      </c>
      <c r="O170" s="2" t="inlineStr">
        <is>
          <t>Early Iron Age archaeological horizon with elite burials and long-distance exchange.</t>
        </is>
      </c>
      <c r="P170" s="2" t="inlineStr">
        <is>
          <t>Baseline for pre-Roman Celtic complexity.</t>
        </is>
      </c>
      <c r="Q170" s="2" t="inlineStr">
        <is>
          <t>Low</t>
        </is>
      </c>
      <c r="R170" s="2" t="inlineStr">
        <is>
          <t>Not applicable</t>
        </is>
      </c>
      <c r="S170" s="2" t="inlineStr">
        <is>
          <t>Medium</t>
        </is>
      </c>
      <c r="T170" s="2" t="inlineStr">
        <is>
          <t>UNESCO</t>
        </is>
      </c>
      <c r="U170" s="8" t="inlineStr">
        <is>
          <t>https://whc.unesco.org/</t>
        </is>
      </c>
      <c r="V170" s="2" t="inlineStr">
        <is>
          <t>UNESCO</t>
        </is>
      </c>
      <c r="W170" s="8" t="inlineStr">
        <is>
          <t>https://whc.unesco.org/</t>
        </is>
      </c>
      <c r="X170" s="2" t="inlineStr">
        <is>
          <t>British Museum Collection</t>
        </is>
      </c>
      <c r="Y170" s="8" t="inlineStr">
        <is>
          <t>https://www.britishmuseum.org/collection</t>
        </is>
      </c>
      <c r="Z170" s="2" t="inlineStr">
        <is>
          <t>UNESCO</t>
        </is>
      </c>
      <c r="AA170" s="8" t="inlineStr">
        <is>
          <t>https://whc.unesco.org/</t>
        </is>
      </c>
      <c r="AB170" s="2" t="inlineStr">
        <is>
          <t>UNESCO</t>
        </is>
      </c>
      <c r="AC170" s="8" t="inlineStr">
        <is>
          <t>https://whc.unesco.org/</t>
        </is>
      </c>
      <c r="AD170" s="2" t="inlineStr">
        <is>
          <t>Hallstatt archaeology</t>
        </is>
      </c>
      <c r="AE170" s="2" t="inlineStr">
        <is>
          <t>Archaeological culture, not a single ethnicity.</t>
        </is>
      </c>
      <c r="AF170" s="2" t="inlineStr">
        <is>
          <t>Elites; trade; burial</t>
        </is>
      </c>
      <c r="AG170" s="2" t="inlineStr">
        <is>
          <t>Medium</t>
        </is>
      </c>
      <c r="AH170" s="2" t="inlineStr">
        <is>
          <t>Low</t>
        </is>
      </c>
      <c r="AI170" s="2" t="inlineStr"/>
      <c r="AJ170" t="inlineStr">
        <is>
          <t>https://whc.unesco.org/en/search/?searchterm=Hallstatt+archaeology</t>
        </is>
      </c>
      <c r="AK170" t="inlineStr">
        <is>
          <t>https://whc.unesco.org/en/search/?searchterm=Hallstatt+archaeology</t>
        </is>
      </c>
      <c r="AL170" t="inlineStr">
        <is>
          <t>https://www.britishmuseum.org/collection/search?keyword=Hallstatt+archaeology</t>
        </is>
      </c>
      <c r="AM170" t="inlineStr">
        <is>
          <t>https://whc.unesco.org/en/search/?searchterm=Hallstatt+archaeology</t>
        </is>
      </c>
      <c r="AN170" t="inlineStr">
        <is>
          <t>https://whc.unesco.org/en/search/?searchterm=Hallstatt+archaeology</t>
        </is>
      </c>
      <c r="AO170" t="inlineStr">
        <is>
          <t>1) Fact base: UNESCO. 2) Translation/text: UNESCO. 3) Images/objects: British Museum Collection. 4) Context/explanation: UNESCO. 5) Geography/maps: UNESCO. Use Suggested_Search_Term inside each portal.</t>
        </is>
      </c>
      <c r="AP170" t="inlineStr">
        <is>
          <t>Mixed: direct portal homepages plus search-result URLs where the portal exposes a public search endpoint.</t>
        </is>
      </c>
    </row>
    <row r="171">
      <c r="A171" s="2" t="n">
        <v>170</v>
      </c>
      <c r="B171" s="7" t="inlineStr">
        <is>
          <t>BCE_to_1AD</t>
        </is>
      </c>
      <c r="C171" s="2" t="inlineStr">
        <is>
          <t>Northern / Celtic Europe</t>
        </is>
      </c>
      <c r="D171" s="2" t="inlineStr">
        <is>
          <t>Celtic and Northern Europe</t>
        </is>
      </c>
      <c r="E171" s="2" t="n">
        <v>-450</v>
      </c>
      <c r="F171" s="2" t="n">
        <v>-50</v>
      </c>
      <c r="G171" s="2" t="inlineStr">
        <is>
          <t>c. 450 BCE to 50 BCE</t>
        </is>
      </c>
      <c r="H171" s="2" t="inlineStr">
        <is>
          <t>La Tene Culture</t>
        </is>
      </c>
      <c r="I171" s="2" t="inlineStr">
        <is>
          <t>Culture / archaeology</t>
        </is>
      </c>
      <c r="J171" s="2" t="inlineStr">
        <is>
          <t>Archaeology</t>
        </is>
      </c>
      <c r="K171" s="2" t="inlineStr">
        <is>
          <t>Celtic art</t>
        </is>
      </c>
      <c r="L171" s="2" t="inlineStr">
        <is>
          <t>Ritual deposits</t>
        </is>
      </c>
      <c r="M171" s="2" t="inlineStr">
        <is>
          <t>Central and Western Europe</t>
        </is>
      </c>
      <c r="N171" s="2" t="inlineStr">
        <is>
          <t>Late Iron Age Celtic sphere</t>
        </is>
      </c>
      <c r="O171" s="2" t="inlineStr">
        <is>
          <t>Iron Age horizon known for curvilinear art, weapons, and wetland deposits.</t>
        </is>
      </c>
      <c r="P171" s="2" t="inlineStr">
        <is>
          <t>Key visual source for Celtic symbolic systems.</t>
        </is>
      </c>
      <c r="Q171" s="2" t="inlineStr">
        <is>
          <t>Medium</t>
        </is>
      </c>
      <c r="R171" s="2" t="inlineStr">
        <is>
          <t>Not applicable</t>
        </is>
      </c>
      <c r="S171" s="2" t="inlineStr">
        <is>
          <t>High</t>
        </is>
      </c>
      <c r="T171" s="2" t="inlineStr">
        <is>
          <t>UNESCO</t>
        </is>
      </c>
      <c r="U171" s="8" t="inlineStr">
        <is>
          <t>https://whc.unesco.org/</t>
        </is>
      </c>
      <c r="V171" s="2" t="inlineStr">
        <is>
          <t>UNESCO</t>
        </is>
      </c>
      <c r="W171" s="8" t="inlineStr">
        <is>
          <t>https://whc.unesco.org/</t>
        </is>
      </c>
      <c r="X171" s="2" t="inlineStr">
        <is>
          <t>British Museum Collection</t>
        </is>
      </c>
      <c r="Y171" s="8" t="inlineStr">
        <is>
          <t>https://www.britishmuseum.org/collection</t>
        </is>
      </c>
      <c r="Z171" s="2" t="inlineStr">
        <is>
          <t>UNESCO</t>
        </is>
      </c>
      <c r="AA171" s="8" t="inlineStr">
        <is>
          <t>https://whc.unesco.org/</t>
        </is>
      </c>
      <c r="AB171" s="2" t="inlineStr">
        <is>
          <t>UNESCO</t>
        </is>
      </c>
      <c r="AC171" s="8" t="inlineStr">
        <is>
          <t>https://whc.unesco.org/</t>
        </is>
      </c>
      <c r="AD171" s="2" t="inlineStr">
        <is>
          <t>La Tene archaeology</t>
        </is>
      </c>
      <c r="AE171" s="2" t="inlineStr">
        <is>
          <t>Use regional variants.</t>
        </is>
      </c>
      <c r="AF171" s="2" t="inlineStr">
        <is>
          <t>Art style; warrior elites</t>
        </is>
      </c>
      <c r="AG171" s="2" t="inlineStr">
        <is>
          <t>High</t>
        </is>
      </c>
      <c r="AH171" s="2" t="inlineStr">
        <is>
          <t>Medium</t>
        </is>
      </c>
      <c r="AI171" s="2" t="inlineStr"/>
      <c r="AJ171" t="inlineStr">
        <is>
          <t>https://whc.unesco.org/en/search/?searchterm=La+Tene+archaeology</t>
        </is>
      </c>
      <c r="AK171" t="inlineStr">
        <is>
          <t>https://whc.unesco.org/en/search/?searchterm=La+Tene+archaeology</t>
        </is>
      </c>
      <c r="AL171" t="inlineStr">
        <is>
          <t>https://www.britishmuseum.org/collection/search?keyword=La+Tene+archaeology</t>
        </is>
      </c>
      <c r="AM171" t="inlineStr">
        <is>
          <t>https://whc.unesco.org/en/search/?searchterm=La+Tene+archaeology</t>
        </is>
      </c>
      <c r="AN171" t="inlineStr">
        <is>
          <t>https://whc.unesco.org/en/search/?searchterm=La+Tene+archaeology</t>
        </is>
      </c>
      <c r="AO171" t="inlineStr">
        <is>
          <t>1) Fact base: UNESCO. 2) Translation/text: UNESCO. 3) Images/objects: British Museum Collection. 4) Context/explanation: UNESCO. 5) Geography/maps: UNESCO. Use Suggested_Search_Term inside each portal.</t>
        </is>
      </c>
      <c r="AP171" t="inlineStr">
        <is>
          <t>Mixed: direct portal homepages plus search-result URLs where the portal exposes a public search endpoint.</t>
        </is>
      </c>
    </row>
    <row r="172">
      <c r="A172" s="2" t="n">
        <v>171</v>
      </c>
      <c r="B172" s="7" t="inlineStr">
        <is>
          <t>BCE_to_1AD</t>
        </is>
      </c>
      <c r="C172" s="2" t="inlineStr">
        <is>
          <t>Northern / Celtic Europe</t>
        </is>
      </c>
      <c r="D172" s="2" t="inlineStr">
        <is>
          <t>Celtic and Northern Europe</t>
        </is>
      </c>
      <c r="E172" s="2" t="n">
        <v>-150</v>
      </c>
      <c r="F172" s="2" t="n">
        <v>-50</v>
      </c>
      <c r="G172" s="2" t="inlineStr">
        <is>
          <t>c. 150 BCE to 50 BCE</t>
        </is>
      </c>
      <c r="H172" s="2" t="inlineStr">
        <is>
          <t>Gundestrup Cauldron</t>
        </is>
      </c>
      <c r="I172" s="2" t="inlineStr">
        <is>
          <t>Artifact</t>
        </is>
      </c>
      <c r="J172" s="2" t="inlineStr">
        <is>
          <t>Silver vessel</t>
        </is>
      </c>
      <c r="K172" s="2" t="inlineStr">
        <is>
          <t>Ritual</t>
        </is>
      </c>
      <c r="L172" s="2" t="inlineStr">
        <is>
          <t>Iconography</t>
        </is>
      </c>
      <c r="M172" s="2" t="inlineStr">
        <is>
          <t>Denmark</t>
        </is>
      </c>
      <c r="N172" s="2" t="inlineStr">
        <is>
          <t>Likely Celtic/Thracian interaction sphere</t>
        </is>
      </c>
      <c r="O172" s="2" t="inlineStr">
        <is>
          <t>Large decorated silver cauldron showing human, animal, and divine scenes.</t>
        </is>
      </c>
      <c r="P172" s="2" t="inlineStr">
        <is>
          <t>Frequently cited for complex iconography and mystery cult interpretation.</t>
        </is>
      </c>
      <c r="Q172" s="2" t="inlineStr">
        <is>
          <t>High</t>
        </is>
      </c>
      <c r="R172" s="2" t="inlineStr">
        <is>
          <t>Not applicable</t>
        </is>
      </c>
      <c r="S172" s="2" t="inlineStr">
        <is>
          <t>High</t>
        </is>
      </c>
      <c r="T172" s="2" t="inlineStr">
        <is>
          <t>UNESCO</t>
        </is>
      </c>
      <c r="U172" s="8" t="inlineStr">
        <is>
          <t>https://whc.unesco.org/</t>
        </is>
      </c>
      <c r="V172" s="2" t="inlineStr">
        <is>
          <t>UNESCO</t>
        </is>
      </c>
      <c r="W172" s="8" t="inlineStr">
        <is>
          <t>https://whc.unesco.org/</t>
        </is>
      </c>
      <c r="X172" s="2" t="inlineStr">
        <is>
          <t>British Museum Collection</t>
        </is>
      </c>
      <c r="Y172" s="8" t="inlineStr">
        <is>
          <t>https://www.britishmuseum.org/collection</t>
        </is>
      </c>
      <c r="Z172" s="2" t="inlineStr">
        <is>
          <t>UNESCO</t>
        </is>
      </c>
      <c r="AA172" s="8" t="inlineStr">
        <is>
          <t>https://whc.unesco.org/</t>
        </is>
      </c>
      <c r="AB172" s="2" t="inlineStr">
        <is>
          <t>UNESCO</t>
        </is>
      </c>
      <c r="AC172" s="8" t="inlineStr">
        <is>
          <t>https://whc.unesco.org/</t>
        </is>
      </c>
      <c r="AD172" s="2" t="inlineStr">
        <is>
          <t>Gundestrup Cauldron</t>
        </is>
      </c>
      <c r="AE172" s="2" t="inlineStr">
        <is>
          <t>Findspot and production context are distinct.</t>
        </is>
      </c>
      <c r="AF172" s="2" t="inlineStr">
        <is>
          <t>Divine imagery; sacrifice; beasts</t>
        </is>
      </c>
      <c r="AG172" s="2" t="inlineStr">
        <is>
          <t>High</t>
        </is>
      </c>
      <c r="AH172" s="2" t="inlineStr">
        <is>
          <t>High</t>
        </is>
      </c>
      <c r="AI172" s="2" t="inlineStr"/>
      <c r="AJ172" t="inlineStr">
        <is>
          <t>https://whc.unesco.org/en/search/?searchterm=Gundestrup+Cauldron</t>
        </is>
      </c>
      <c r="AK172" t="inlineStr">
        <is>
          <t>https://whc.unesco.org/en/search/?searchterm=Gundestrup+Cauldron</t>
        </is>
      </c>
      <c r="AL172" t="inlineStr">
        <is>
          <t>https://www.britishmuseum.org/collection/search?keyword=Gundestrup+Cauldron</t>
        </is>
      </c>
      <c r="AM172" t="inlineStr">
        <is>
          <t>https://whc.unesco.org/en/search/?searchterm=Gundestrup+Cauldron</t>
        </is>
      </c>
      <c r="AN172" t="inlineStr">
        <is>
          <t>https://whc.unesco.org/en/search/?searchterm=Gundestrup+Cauldron</t>
        </is>
      </c>
      <c r="AO172" t="inlineStr">
        <is>
          <t>1) Fact base: UNESCO. 2) Translation/text: UNESCO. 3) Images/objects: British Museum Collection. 4) Context/explanation: UNESCO. 5) Geography/maps: UNESCO. Use Suggested_Search_Term inside each portal.</t>
        </is>
      </c>
      <c r="AP172" t="inlineStr">
        <is>
          <t>Mixed: direct portal homepages plus search-result URLs where the portal exposes a public search endpoint.</t>
        </is>
      </c>
    </row>
    <row r="173">
      <c r="A173" s="2" t="n">
        <v>172</v>
      </c>
      <c r="B173" s="7" t="inlineStr">
        <is>
          <t>BCE_to_1AD</t>
        </is>
      </c>
      <c r="C173" s="2" t="inlineStr">
        <is>
          <t>Northern / Celtic Europe</t>
        </is>
      </c>
      <c r="D173" s="2" t="inlineStr">
        <is>
          <t>Celtic and Northern Europe</t>
        </is>
      </c>
      <c r="E173" s="2" t="n">
        <v>-800</v>
      </c>
      <c r="F173" s="2" t="n">
        <v>-1</v>
      </c>
      <c r="G173" s="2" t="inlineStr">
        <is>
          <t>c. 800 BCE to 1 BCE</t>
        </is>
      </c>
      <c r="H173" s="2" t="inlineStr">
        <is>
          <t>Bog bodies</t>
        </is>
      </c>
      <c r="I173" s="2" t="inlineStr">
        <is>
          <t>Artifact / human remains corpus</t>
        </is>
      </c>
      <c r="J173" s="2" t="inlineStr">
        <is>
          <t>Archaeology</t>
        </is>
      </c>
      <c r="K173" s="2" t="inlineStr">
        <is>
          <t>Sacrifice</t>
        </is>
      </c>
      <c r="L173" s="2" t="inlineStr">
        <is>
          <t>Ritual violence</t>
        </is>
      </c>
      <c r="M173" s="2" t="inlineStr">
        <is>
          <t>Northern Europe</t>
        </is>
      </c>
      <c r="N173" s="2" t="inlineStr">
        <is>
          <t>Wetland ritual landscapes</t>
        </is>
      </c>
      <c r="O173" s="2" t="inlineStr">
        <is>
          <t>Preserved human remains from peat bogs revealing violent death and deposition.</t>
        </is>
      </c>
      <c r="P173" s="2" t="inlineStr">
        <is>
          <t>Important for ritual practice and body treatment outside textual traditions.</t>
        </is>
      </c>
      <c r="Q173" s="2" t="inlineStr">
        <is>
          <t>Medium</t>
        </is>
      </c>
      <c r="R173" s="2" t="inlineStr">
        <is>
          <t>Not applicable</t>
        </is>
      </c>
      <c r="S173" s="2" t="inlineStr">
        <is>
          <t>High</t>
        </is>
      </c>
      <c r="T173" s="2" t="inlineStr">
        <is>
          <t>UNESCO</t>
        </is>
      </c>
      <c r="U173" s="8" t="inlineStr">
        <is>
          <t>https://whc.unesco.org/</t>
        </is>
      </c>
      <c r="V173" s="2" t="inlineStr">
        <is>
          <t>UNESCO</t>
        </is>
      </c>
      <c r="W173" s="8" t="inlineStr">
        <is>
          <t>https://whc.unesco.org/</t>
        </is>
      </c>
      <c r="X173" s="2" t="inlineStr">
        <is>
          <t>British Museum Collection</t>
        </is>
      </c>
      <c r="Y173" s="8" t="inlineStr">
        <is>
          <t>https://www.britishmuseum.org/collection</t>
        </is>
      </c>
      <c r="Z173" s="2" t="inlineStr">
        <is>
          <t>UNESCO</t>
        </is>
      </c>
      <c r="AA173" s="8" t="inlineStr">
        <is>
          <t>https://whc.unesco.org/</t>
        </is>
      </c>
      <c r="AB173" s="2" t="inlineStr">
        <is>
          <t>UNESCO</t>
        </is>
      </c>
      <c r="AC173" s="8" t="inlineStr">
        <is>
          <t>https://whc.unesco.org/</t>
        </is>
      </c>
      <c r="AD173" s="2" t="inlineStr">
        <is>
          <t>Bog bodies collection</t>
        </is>
      </c>
      <c r="AE173" s="2" t="inlineStr">
        <is>
          <t>Dates vary widely by specimen.</t>
        </is>
      </c>
      <c r="AF173" s="2" t="inlineStr">
        <is>
          <t>Sacrifice; liminal places</t>
        </is>
      </c>
      <c r="AG173" s="2" t="inlineStr">
        <is>
          <t>High</t>
        </is>
      </c>
      <c r="AH173" s="2" t="inlineStr">
        <is>
          <t>Medium</t>
        </is>
      </c>
      <c r="AI173" s="2" t="inlineStr"/>
      <c r="AJ173" t="inlineStr">
        <is>
          <t>https://whc.unesco.org/en/search/?searchterm=Bog+bodies+collection</t>
        </is>
      </c>
      <c r="AK173" t="inlineStr">
        <is>
          <t>https://whc.unesco.org/en/search/?searchterm=Bog+bodies+collection</t>
        </is>
      </c>
      <c r="AL173" t="inlineStr">
        <is>
          <t>https://www.britishmuseum.org/collection/search?keyword=Bog+bodies+collection</t>
        </is>
      </c>
      <c r="AM173" t="inlineStr">
        <is>
          <t>https://whc.unesco.org/en/search/?searchterm=Bog+bodies+collection</t>
        </is>
      </c>
      <c r="AN173" t="inlineStr">
        <is>
          <t>https://whc.unesco.org/en/search/?searchterm=Bog+bodies+collection</t>
        </is>
      </c>
      <c r="AO173" t="inlineStr">
        <is>
          <t>1) Fact base: UNESCO. 2) Translation/text: UNESCO. 3) Images/objects: British Museum Collection. 4) Context/explanation: UNESCO. 5) Geography/maps: UNESCO. Use Suggested_Search_Term inside each portal.</t>
        </is>
      </c>
      <c r="AP173" t="inlineStr">
        <is>
          <t>Mixed: direct portal homepages plus search-result URLs where the portal exposes a public search endpoint.</t>
        </is>
      </c>
    </row>
    <row r="174">
      <c r="A174" s="2" t="n">
        <v>173</v>
      </c>
      <c r="B174" s="7" t="inlineStr">
        <is>
          <t>BCE_to_1AD</t>
        </is>
      </c>
      <c r="C174" s="2" t="inlineStr">
        <is>
          <t>Northern / Celtic Europe</t>
        </is>
      </c>
      <c r="D174" s="2" t="inlineStr">
        <is>
          <t>Celtic and Northern Europe</t>
        </is>
      </c>
      <c r="E174" s="2" t="n">
        <v>-1800</v>
      </c>
      <c r="F174" s="2" t="n">
        <v>-500</v>
      </c>
      <c r="G174" s="2" t="inlineStr">
        <is>
          <t>c. 1800 BCE to 500 BCE</t>
        </is>
      </c>
      <c r="H174" s="2" t="inlineStr">
        <is>
          <t>Nordic Bronze Age rock art</t>
        </is>
      </c>
      <c r="I174" s="2" t="inlineStr">
        <is>
          <t>Artifact corpus</t>
        </is>
      </c>
      <c r="J174" s="2" t="inlineStr">
        <is>
          <t>Rock carvings</t>
        </is>
      </c>
      <c r="K174" s="2" t="inlineStr">
        <is>
          <t>Solar symbolism</t>
        </is>
      </c>
      <c r="L174" s="2" t="inlineStr">
        <is>
          <t>Seafaring</t>
        </is>
      </c>
      <c r="M174" s="2" t="inlineStr">
        <is>
          <t>Scandinavia</t>
        </is>
      </c>
      <c r="N174" s="2" t="inlineStr">
        <is>
          <t>Nordic Bronze Age</t>
        </is>
      </c>
      <c r="O174" s="2" t="inlineStr">
        <is>
          <t>Large corpus of carved ships, discs, humans, and ritual scenes.</t>
        </is>
      </c>
      <c r="P174" s="2" t="inlineStr">
        <is>
          <t>Useful for visual myth reconstruction where texts are absent.</t>
        </is>
      </c>
      <c r="Q174" s="2" t="inlineStr">
        <is>
          <t>Medium</t>
        </is>
      </c>
      <c r="R174" s="2" t="inlineStr">
        <is>
          <t>Not applicable</t>
        </is>
      </c>
      <c r="S174" s="2" t="inlineStr">
        <is>
          <t>Medium</t>
        </is>
      </c>
      <c r="T174" s="2" t="inlineStr">
        <is>
          <t>UNESCO</t>
        </is>
      </c>
      <c r="U174" s="8" t="inlineStr">
        <is>
          <t>https://whc.unesco.org/</t>
        </is>
      </c>
      <c r="V174" s="2" t="inlineStr">
        <is>
          <t>UNESCO</t>
        </is>
      </c>
      <c r="W174" s="8" t="inlineStr">
        <is>
          <t>https://whc.unesco.org/</t>
        </is>
      </c>
      <c r="X174" s="2" t="inlineStr">
        <is>
          <t>British Museum Collection</t>
        </is>
      </c>
      <c r="Y174" s="8" t="inlineStr">
        <is>
          <t>https://www.britishmuseum.org/collection</t>
        </is>
      </c>
      <c r="Z174" s="2" t="inlineStr">
        <is>
          <t>UNESCO</t>
        </is>
      </c>
      <c r="AA174" s="8" t="inlineStr">
        <is>
          <t>https://whc.unesco.org/</t>
        </is>
      </c>
      <c r="AB174" s="2" t="inlineStr">
        <is>
          <t>UNESCO</t>
        </is>
      </c>
      <c r="AC174" s="8" t="inlineStr">
        <is>
          <t>https://whc.unesco.org/</t>
        </is>
      </c>
      <c r="AD174" s="2" t="inlineStr">
        <is>
          <t>Nordic rock art</t>
        </is>
      </c>
      <c r="AE174" s="2" t="inlineStr">
        <is>
          <t>Interpretation is pattern-based rather than text-linked.</t>
        </is>
      </c>
      <c r="AF174" s="2" t="inlineStr">
        <is>
          <t>Sun cult; boats; ritual action</t>
        </is>
      </c>
      <c r="AG174" s="2" t="inlineStr">
        <is>
          <t>High</t>
        </is>
      </c>
      <c r="AH174" s="2" t="inlineStr">
        <is>
          <t>High</t>
        </is>
      </c>
      <c r="AI174" s="2" t="inlineStr"/>
      <c r="AJ174" t="inlineStr">
        <is>
          <t>https://whc.unesco.org/en/search/?searchterm=Nordic+rock+art</t>
        </is>
      </c>
      <c r="AK174" t="inlineStr">
        <is>
          <t>https://whc.unesco.org/en/search/?searchterm=Nordic+rock+art</t>
        </is>
      </c>
      <c r="AL174" t="inlineStr">
        <is>
          <t>https://www.britishmuseum.org/collection/search?keyword=Nordic+rock+art</t>
        </is>
      </c>
      <c r="AM174" t="inlineStr">
        <is>
          <t>https://whc.unesco.org/en/search/?searchterm=Nordic+rock+art</t>
        </is>
      </c>
      <c r="AN174" t="inlineStr">
        <is>
          <t>https://whc.unesco.org/en/search/?searchterm=Nordic+rock+art</t>
        </is>
      </c>
      <c r="AO174" t="inlineStr">
        <is>
          <t>1) Fact base: UNESCO. 2) Translation/text: UNESCO. 3) Images/objects: British Museum Collection. 4) Context/explanation: UNESCO. 5) Geography/maps: UNESCO. Use Suggested_Search_Term inside each portal.</t>
        </is>
      </c>
      <c r="AP174" t="inlineStr">
        <is>
          <t>Mixed: direct portal homepages plus search-result URLs where the portal exposes a public search endpoint.</t>
        </is>
      </c>
    </row>
    <row r="175">
      <c r="A175" s="2" t="n">
        <v>174</v>
      </c>
      <c r="B175" s="7" t="inlineStr">
        <is>
          <t>BCE_to_1AD</t>
        </is>
      </c>
      <c r="C175" s="2" t="inlineStr">
        <is>
          <t>Northern / Celtic Europe</t>
        </is>
      </c>
      <c r="D175" s="2" t="inlineStr">
        <is>
          <t>Celtic and Northern Europe</t>
        </is>
      </c>
      <c r="E175" s="2" t="n">
        <v>-1400</v>
      </c>
      <c r="F175" s="2" t="n">
        <v>-1200</v>
      </c>
      <c r="G175" s="2" t="inlineStr">
        <is>
          <t>c. 1400 BCE to 1200 BCE</t>
        </is>
      </c>
      <c r="H175" s="2" t="inlineStr">
        <is>
          <t>Trundholm Sun Chariot</t>
        </is>
      </c>
      <c r="I175" s="2" t="inlineStr">
        <is>
          <t>Artifact</t>
        </is>
      </c>
      <c r="J175" s="2" t="inlineStr">
        <is>
          <t>Bronze and gold object</t>
        </is>
      </c>
      <c r="K175" s="2" t="inlineStr">
        <is>
          <t>Solar cult</t>
        </is>
      </c>
      <c r="L175" s="2" t="inlineStr">
        <is>
          <t>Vehicle symbolism</t>
        </is>
      </c>
      <c r="M175" s="2" t="inlineStr">
        <is>
          <t>Denmark</t>
        </is>
      </c>
      <c r="N175" s="2" t="inlineStr">
        <is>
          <t>Nordic Bronze Age</t>
        </is>
      </c>
      <c r="O175" s="2" t="inlineStr">
        <is>
          <t>Wheeled horse drawing a sun-disk object.</t>
        </is>
      </c>
      <c r="P175" s="2" t="inlineStr">
        <is>
          <t>A classic object for solar-motion symbolism.</t>
        </is>
      </c>
      <c r="Q175" s="2" t="inlineStr">
        <is>
          <t>High</t>
        </is>
      </c>
      <c r="R175" s="2" t="inlineStr">
        <is>
          <t>Not applicable</t>
        </is>
      </c>
      <c r="S175" s="2" t="inlineStr">
        <is>
          <t>High</t>
        </is>
      </c>
      <c r="T175" s="2" t="inlineStr">
        <is>
          <t>UNESCO</t>
        </is>
      </c>
      <c r="U175" s="8" t="inlineStr">
        <is>
          <t>https://whc.unesco.org/</t>
        </is>
      </c>
      <c r="V175" s="2" t="inlineStr">
        <is>
          <t>UNESCO</t>
        </is>
      </c>
      <c r="W175" s="8" t="inlineStr">
        <is>
          <t>https://whc.unesco.org/</t>
        </is>
      </c>
      <c r="X175" s="2" t="inlineStr">
        <is>
          <t>British Museum Collection</t>
        </is>
      </c>
      <c r="Y175" s="8" t="inlineStr">
        <is>
          <t>https://www.britishmuseum.org/collection</t>
        </is>
      </c>
      <c r="Z175" s="2" t="inlineStr">
        <is>
          <t>UNESCO</t>
        </is>
      </c>
      <c r="AA175" s="8" t="inlineStr">
        <is>
          <t>https://whc.unesco.org/</t>
        </is>
      </c>
      <c r="AB175" s="2" t="inlineStr">
        <is>
          <t>UNESCO</t>
        </is>
      </c>
      <c r="AC175" s="8" t="inlineStr">
        <is>
          <t>https://whc.unesco.org/</t>
        </is>
      </c>
      <c r="AD175" s="2" t="inlineStr">
        <is>
          <t>Trundholm Sun Chariot</t>
        </is>
      </c>
      <c r="AE175" s="2" t="inlineStr">
        <is>
          <t>Strong object-level evidence for solar iconography.</t>
        </is>
      </c>
      <c r="AF175" s="2" t="inlineStr">
        <is>
          <t>Sun journey; chariot symbolism</t>
        </is>
      </c>
      <c r="AG175" s="2" t="inlineStr">
        <is>
          <t>High</t>
        </is>
      </c>
      <c r="AH175" s="2" t="inlineStr">
        <is>
          <t>High</t>
        </is>
      </c>
      <c r="AI175" s="2" t="inlineStr"/>
      <c r="AJ175" t="inlineStr">
        <is>
          <t>https://whc.unesco.org/en/search/?searchterm=Trundholm+Sun+Chariot</t>
        </is>
      </c>
      <c r="AK175" t="inlineStr">
        <is>
          <t>https://whc.unesco.org/en/search/?searchterm=Trundholm+Sun+Chariot</t>
        </is>
      </c>
      <c r="AL175" t="inlineStr">
        <is>
          <t>https://www.britishmuseum.org/collection/search?keyword=Trundholm+Sun+Chariot</t>
        </is>
      </c>
      <c r="AM175" t="inlineStr">
        <is>
          <t>https://whc.unesco.org/en/search/?searchterm=Trundholm+Sun+Chariot</t>
        </is>
      </c>
      <c r="AN175" t="inlineStr">
        <is>
          <t>https://whc.unesco.org/en/search/?searchterm=Trundholm+Sun+Chariot</t>
        </is>
      </c>
      <c r="AO175" t="inlineStr">
        <is>
          <t>1) Fact base: UNESCO. 2) Translation/text: UNESCO. 3) Images/objects: British Museum Collection. 4) Context/explanation: UNESCO. 5) Geography/maps: UNESCO. Use Suggested_Search_Term inside each portal.</t>
        </is>
      </c>
      <c r="AP175" t="inlineStr">
        <is>
          <t>Mixed: direct portal homepages plus search-result URLs where the portal exposes a public search endpoint.</t>
        </is>
      </c>
    </row>
    <row r="176">
      <c r="A176" s="2" t="n">
        <v>175</v>
      </c>
      <c r="B176" s="9" t="inlineStr">
        <is>
          <t>Later_witness_or_post_1AD_relevance</t>
        </is>
      </c>
      <c r="C176" s="2" t="inlineStr">
        <is>
          <t>Northern / Celtic Europe</t>
        </is>
      </c>
      <c r="D176" s="2" t="inlineStr">
        <is>
          <t>Celtic and Northern Europe</t>
        </is>
      </c>
      <c r="E176" s="2" t="n">
        <v>-100</v>
      </c>
      <c r="F176" s="2" t="n">
        <v>100</v>
      </c>
      <c r="G176" s="2" t="inlineStr">
        <is>
          <t>c. 100 BCE to 100 CE</t>
        </is>
      </c>
      <c r="H176" s="2" t="inlineStr">
        <is>
          <t>Classical descriptions of Druids</t>
        </is>
      </c>
      <c r="I176" s="2" t="inlineStr">
        <is>
          <t>Text tradition</t>
        </is>
      </c>
      <c r="J176" s="2" t="inlineStr">
        <is>
          <t>Greek/Roman witnesses</t>
        </is>
      </c>
      <c r="K176" s="2" t="inlineStr">
        <is>
          <t>Priesthood</t>
        </is>
      </c>
      <c r="L176" s="2" t="inlineStr">
        <is>
          <t>Oral culture</t>
        </is>
      </c>
      <c r="M176" s="2" t="inlineStr">
        <is>
          <t>Gaul/Britain</t>
        </is>
      </c>
      <c r="N176" s="2" t="inlineStr">
        <is>
          <t>Celtic world</t>
        </is>
      </c>
      <c r="O176" s="2" t="inlineStr">
        <is>
          <t>External descriptions of Druids and Celtic ritual from classical authors.</t>
        </is>
      </c>
      <c r="P176" s="2" t="inlineStr">
        <is>
          <t>Important because direct Celtic religious writing is sparse.</t>
        </is>
      </c>
      <c r="Q176" s="2" t="inlineStr">
        <is>
          <t>High</t>
        </is>
      </c>
      <c r="R176" s="2" t="inlineStr">
        <is>
          <t>High</t>
        </is>
      </c>
      <c r="S176" s="2" t="inlineStr">
        <is>
          <t>Low</t>
        </is>
      </c>
      <c r="T176" s="2" t="inlineStr">
        <is>
          <t>Perseus</t>
        </is>
      </c>
      <c r="U176" s="8" t="inlineStr">
        <is>
          <t>https://www.perseus.tufts.edu/hopper/</t>
        </is>
      </c>
      <c r="V176" s="2" t="inlineStr">
        <is>
          <t>Perseus</t>
        </is>
      </c>
      <c r="W176" s="8" t="inlineStr">
        <is>
          <t>https://www.perseus.tufts.edu/hopper/</t>
        </is>
      </c>
      <c r="X176" s="2" t="inlineStr">
        <is>
          <t>British Museum Collection</t>
        </is>
      </c>
      <c r="Y176" s="8" t="inlineStr">
        <is>
          <t>https://www.britishmuseum.org/collection</t>
        </is>
      </c>
      <c r="Z176" s="2" t="inlineStr">
        <is>
          <t>UNESCO</t>
        </is>
      </c>
      <c r="AA176" s="8" t="inlineStr">
        <is>
          <t>https://whc.unesco.org/</t>
        </is>
      </c>
      <c r="AB176" s="2" t="inlineStr">
        <is>
          <t>UNESCO</t>
        </is>
      </c>
      <c r="AC176" s="8" t="inlineStr">
        <is>
          <t>https://whc.unesco.org/</t>
        </is>
      </c>
      <c r="AD176" s="2" t="inlineStr">
        <is>
          <t>Druids classical sources</t>
        </is>
      </c>
      <c r="AE176" s="2" t="inlineStr">
        <is>
          <t>Outsider witnesses with biases.</t>
        </is>
      </c>
      <c r="AF176" s="2" t="inlineStr">
        <is>
          <t>Priesthood; oral learning; sacrifice</t>
        </is>
      </c>
      <c r="AG176" s="2" t="inlineStr">
        <is>
          <t>Medium</t>
        </is>
      </c>
      <c r="AH176" s="2" t="inlineStr">
        <is>
          <t>Medium</t>
        </is>
      </c>
      <c r="AI176" s="2" t="inlineStr"/>
      <c r="AJ176" t="inlineStr">
        <is>
          <t>https://www.perseus.tufts.edu/hopper/</t>
        </is>
      </c>
      <c r="AK176" t="inlineStr">
        <is>
          <t>https://www.perseus.tufts.edu/hopper/</t>
        </is>
      </c>
      <c r="AL176" t="inlineStr">
        <is>
          <t>https://www.britishmuseum.org/collection/search?keyword=Druids+classical+sources</t>
        </is>
      </c>
      <c r="AM176" t="inlineStr">
        <is>
          <t>https://whc.unesco.org/en/search/?searchterm=Druids+classical+sources</t>
        </is>
      </c>
      <c r="AN176" t="inlineStr">
        <is>
          <t>https://whc.unesco.org/en/search/?searchterm=Druids+classical+sources</t>
        </is>
      </c>
      <c r="AO176" t="inlineStr">
        <is>
          <t>1) Fact base: Perseus. 2) Translation/text: Perseus. 3) Images/objects: British Museum Collection. 4) Context/explanation: UNESCO. 5) Geography/maps: UNESCO. Use Suggested_Search_Term inside each portal.</t>
        </is>
      </c>
      <c r="AP176" t="inlineStr">
        <is>
          <t>Mixed: direct portal homepages plus search-result URLs where the portal exposes a public search endpoint.</t>
        </is>
      </c>
    </row>
    <row r="177">
      <c r="A177" s="2" t="n">
        <v>176</v>
      </c>
      <c r="B177" s="9" t="inlineStr">
        <is>
          <t>Later_witness_or_post_1AD_relevance</t>
        </is>
      </c>
      <c r="C177" s="2" t="inlineStr">
        <is>
          <t>Northern / Celtic Europe</t>
        </is>
      </c>
      <c r="D177" s="2" t="inlineStr">
        <is>
          <t>Celtic and Northern Europe</t>
        </is>
      </c>
      <c r="E177" s="2" t="n">
        <v>-500</v>
      </c>
      <c r="F177" s="2" t="n">
        <v>1200</v>
      </c>
      <c r="G177" s="2" t="inlineStr">
        <is>
          <t>c. 500 BCE to 1200 CE</t>
        </is>
      </c>
      <c r="H177" s="2" t="inlineStr">
        <is>
          <t>Insular Celtic myth cycles (later witnesses)</t>
        </is>
      </c>
      <c r="I177" s="2" t="inlineStr">
        <is>
          <t>Legend / later witness</t>
        </is>
      </c>
      <c r="J177" s="2" t="inlineStr">
        <is>
          <t>Medieval manuscripts preserving older oral material</t>
        </is>
      </c>
      <c r="K177" s="2" t="inlineStr">
        <is>
          <t>Creation</t>
        </is>
      </c>
      <c r="L177" s="2" t="inlineStr">
        <is>
          <t>Heroic cycles</t>
        </is>
      </c>
      <c r="M177" s="2" t="inlineStr">
        <is>
          <t>Ireland/Wales</t>
        </is>
      </c>
      <c r="N177" s="2" t="inlineStr">
        <is>
          <t>Celtic oral tradition</t>
        </is>
      </c>
      <c r="O177" s="2" t="inlineStr">
        <is>
          <t>Later written witnesses preserving older mythic and pseudo-historical material.</t>
        </is>
      </c>
      <c r="P177" s="2" t="inlineStr">
        <is>
          <t>Useful but outside BCE manuscript scope.</t>
        </is>
      </c>
      <c r="Q177" s="2" t="inlineStr">
        <is>
          <t>Medium</t>
        </is>
      </c>
      <c r="R177" s="2" t="inlineStr">
        <is>
          <t>High</t>
        </is>
      </c>
      <c r="S177" s="2" t="inlineStr">
        <is>
          <t>Low</t>
        </is>
      </c>
      <c r="T177" s="2" t="inlineStr">
        <is>
          <t>Perseus</t>
        </is>
      </c>
      <c r="U177" s="8" t="inlineStr">
        <is>
          <t>https://www.perseus.tufts.edu/hopper/</t>
        </is>
      </c>
      <c r="V177" s="2" t="inlineStr">
        <is>
          <t>Perseus</t>
        </is>
      </c>
      <c r="W177" s="8" t="inlineStr">
        <is>
          <t>https://www.perseus.tufts.edu/hopper/</t>
        </is>
      </c>
      <c r="X177" s="2" t="inlineStr">
        <is>
          <t>British Museum Collection</t>
        </is>
      </c>
      <c r="Y177" s="8" t="inlineStr">
        <is>
          <t>https://www.britishmuseum.org/collection</t>
        </is>
      </c>
      <c r="Z177" s="2" t="inlineStr">
        <is>
          <t>UNESCO</t>
        </is>
      </c>
      <c r="AA177" s="8" t="inlineStr">
        <is>
          <t>https://whc.unesco.org/</t>
        </is>
      </c>
      <c r="AB177" s="2" t="inlineStr">
        <is>
          <t>UNESCO</t>
        </is>
      </c>
      <c r="AC177" s="8" t="inlineStr">
        <is>
          <t>https://whc.unesco.org/</t>
        </is>
      </c>
      <c r="AD177" s="2" t="inlineStr">
        <is>
          <t>Celtic myth cycles</t>
        </is>
      </c>
      <c r="AE177" s="2" t="inlineStr">
        <is>
          <t>Clearly later witnesses, not BCE texts.</t>
        </is>
      </c>
      <c r="AF177" s="2" t="inlineStr">
        <is>
          <t>Otherworld; invasions; sacred kingship</t>
        </is>
      </c>
      <c r="AG177" s="2" t="inlineStr">
        <is>
          <t>Medium</t>
        </is>
      </c>
      <c r="AH177" s="2" t="inlineStr">
        <is>
          <t>High</t>
        </is>
      </c>
      <c r="AI177" s="2" t="inlineStr"/>
      <c r="AJ177" t="inlineStr">
        <is>
          <t>https://www.perseus.tufts.edu/hopper/</t>
        </is>
      </c>
      <c r="AK177" t="inlineStr">
        <is>
          <t>https://www.perseus.tufts.edu/hopper/</t>
        </is>
      </c>
      <c r="AL177" t="inlineStr">
        <is>
          <t>https://www.britishmuseum.org/collection/search?keyword=Celtic+myth+cycles</t>
        </is>
      </c>
      <c r="AM177" t="inlineStr">
        <is>
          <t>https://whc.unesco.org/en/search/?searchterm=Celtic+myth+cycles</t>
        </is>
      </c>
      <c r="AN177" t="inlineStr">
        <is>
          <t>https://whc.unesco.org/en/search/?searchterm=Celtic+myth+cycles</t>
        </is>
      </c>
      <c r="AO177" t="inlineStr">
        <is>
          <t>1) Fact base: Perseus. 2) Translation/text: Perseus. 3) Images/objects: British Museum Collection. 4) Context/explanation: UNESCO. 5) Geography/maps: UNESCO. Use Suggested_Search_Term inside each portal.</t>
        </is>
      </c>
      <c r="AP177" t="inlineStr">
        <is>
          <t>Mixed: direct portal homepages plus search-result URLs where the portal exposes a public search endpoint.</t>
        </is>
      </c>
    </row>
    <row r="178">
      <c r="A178" s="2" t="n">
        <v>177</v>
      </c>
      <c r="B178" s="7" t="inlineStr">
        <is>
          <t>BCE_to_1AD</t>
        </is>
      </c>
      <c r="C178" s="2" t="inlineStr">
        <is>
          <t>Africa (outside Egypt)</t>
        </is>
      </c>
      <c r="D178" s="2" t="inlineStr">
        <is>
          <t>African traditions beyond Egypt</t>
        </is>
      </c>
      <c r="E178" s="2" t="n">
        <v>-2500</v>
      </c>
      <c r="F178" s="2" t="n">
        <v>-1500</v>
      </c>
      <c r="G178" s="2" t="inlineStr">
        <is>
          <t>c. 2500 BCE to 1500 BCE</t>
        </is>
      </c>
      <c r="H178" s="2" t="inlineStr">
        <is>
          <t>Kerma</t>
        </is>
      </c>
      <c r="I178" s="2" t="inlineStr">
        <is>
          <t>Site</t>
        </is>
      </c>
      <c r="J178" s="2" t="inlineStr">
        <is>
          <t>Archaeology</t>
        </is>
      </c>
      <c r="K178" s="2" t="inlineStr">
        <is>
          <t>Kingship</t>
        </is>
      </c>
      <c r="L178" s="2" t="inlineStr">
        <is>
          <t>Nubia</t>
        </is>
      </c>
      <c r="M178" s="2" t="inlineStr">
        <is>
          <t>Sudan</t>
        </is>
      </c>
      <c r="N178" s="2" t="inlineStr">
        <is>
          <t>Upper Nubia</t>
        </is>
      </c>
      <c r="O178" s="2" t="inlineStr">
        <is>
          <t>Early Nubian state center with monumental tumuli and long exchange with Egypt.</t>
        </is>
      </c>
      <c r="P178" s="2" t="inlineStr">
        <is>
          <t>Critical for avoiding Egypt-only views of Northeast Africa.</t>
        </is>
      </c>
      <c r="Q178" s="2" t="inlineStr">
        <is>
          <t>Medium</t>
        </is>
      </c>
      <c r="R178" s="2" t="inlineStr">
        <is>
          <t>Not applicable</t>
        </is>
      </c>
      <c r="S178" s="2" t="inlineStr">
        <is>
          <t>Medium</t>
        </is>
      </c>
      <c r="T178" s="2" t="inlineStr">
        <is>
          <t>UNESCO</t>
        </is>
      </c>
      <c r="U178" s="8" t="inlineStr">
        <is>
          <t>https://whc.unesco.org/</t>
        </is>
      </c>
      <c r="V178" s="2" t="inlineStr">
        <is>
          <t>Internet Archive</t>
        </is>
      </c>
      <c r="W178" s="8" t="inlineStr">
        <is>
          <t>https://archive.org/</t>
        </is>
      </c>
      <c r="X178" s="2" t="inlineStr">
        <is>
          <t>British Museum Collection</t>
        </is>
      </c>
      <c r="Y178" s="8" t="inlineStr">
        <is>
          <t>https://www.britishmuseum.org/collection</t>
        </is>
      </c>
      <c r="Z178" s="2" t="inlineStr">
        <is>
          <t>UNESCO</t>
        </is>
      </c>
      <c r="AA178" s="8" t="inlineStr">
        <is>
          <t>https://whc.unesco.org/</t>
        </is>
      </c>
      <c r="AB178" s="2" t="inlineStr">
        <is>
          <t>UNESCO</t>
        </is>
      </c>
      <c r="AC178" s="8" t="inlineStr">
        <is>
          <t>https://whc.unesco.org/</t>
        </is>
      </c>
      <c r="AD178" s="2" t="inlineStr">
        <is>
          <t>Kerma archaeology</t>
        </is>
      </c>
      <c r="AE178" s="2" t="inlineStr">
        <is>
          <t>Use Nubian chronology rather than Egyptocentric framing.</t>
        </is>
      </c>
      <c r="AF178" s="2" t="inlineStr">
        <is>
          <t>Kingship; exchange; burials</t>
        </is>
      </c>
      <c r="AG178" s="2" t="inlineStr">
        <is>
          <t>High</t>
        </is>
      </c>
      <c r="AH178" s="2" t="inlineStr">
        <is>
          <t>Medium</t>
        </is>
      </c>
      <c r="AI178" s="2" t="inlineStr"/>
      <c r="AJ178" t="inlineStr">
        <is>
          <t>https://whc.unesco.org/en/search/?searchterm=Kerma+archaeology</t>
        </is>
      </c>
      <c r="AK178" t="inlineStr">
        <is>
          <t>https://archive.org/search?query=Kerma+archaeology</t>
        </is>
      </c>
      <c r="AL178" t="inlineStr">
        <is>
          <t>https://www.britishmuseum.org/collection/search?keyword=Kerma+archaeology</t>
        </is>
      </c>
      <c r="AM178" t="inlineStr">
        <is>
          <t>https://whc.unesco.org/en/search/?searchterm=Kerma+archaeology</t>
        </is>
      </c>
      <c r="AN178" t="inlineStr">
        <is>
          <t>https://whc.unesco.org/en/search/?searchterm=Kerma+archaeology</t>
        </is>
      </c>
      <c r="AO178" t="inlineStr">
        <is>
          <t>1) Fact base: UNESCO. 2) Translation/text: Internet Archive. 3) Images/objects: British Museum Collection. 4) Context/explanation: UNESCO. 5) Geography/maps: UNESCO. Use Suggested_Search_Term inside each portal.</t>
        </is>
      </c>
      <c r="AP178" t="inlineStr">
        <is>
          <t>Mixed: direct portal homepages plus search-result URLs where the portal exposes a public search endpoint.</t>
        </is>
      </c>
    </row>
    <row r="179">
      <c r="A179" s="2" t="n">
        <v>178</v>
      </c>
      <c r="B179" s="7" t="inlineStr">
        <is>
          <t>BCE_to_1AD</t>
        </is>
      </c>
      <c r="C179" s="2" t="inlineStr">
        <is>
          <t>Africa (outside Egypt)</t>
        </is>
      </c>
      <c r="D179" s="2" t="inlineStr">
        <is>
          <t>African traditions beyond Egypt</t>
        </is>
      </c>
      <c r="E179" s="2" t="n">
        <v>-800</v>
      </c>
      <c r="F179" s="2" t="n">
        <v>-300</v>
      </c>
      <c r="G179" s="2" t="inlineStr">
        <is>
          <t>c. 800 BCE to 300 BCE</t>
        </is>
      </c>
      <c r="H179" s="2" t="inlineStr">
        <is>
          <t>Napata</t>
        </is>
      </c>
      <c r="I179" s="2" t="inlineStr">
        <is>
          <t>Site</t>
        </is>
      </c>
      <c r="J179" s="2" t="inlineStr">
        <is>
          <t>Archaeology</t>
        </is>
      </c>
      <c r="K179" s="2" t="inlineStr">
        <is>
          <t>Kingship</t>
        </is>
      </c>
      <c r="L179" s="2" t="inlineStr">
        <is>
          <t>Kush</t>
        </is>
      </c>
      <c r="M179" s="2" t="inlineStr">
        <is>
          <t>Sudan</t>
        </is>
      </c>
      <c r="N179" s="2" t="inlineStr">
        <is>
          <t>Middle Nile</t>
        </is>
      </c>
      <c r="O179" s="2" t="inlineStr">
        <is>
          <t>Kushite center tied to royal cult and pyramid traditions.</t>
        </is>
      </c>
      <c r="P179" s="2" t="inlineStr">
        <is>
          <t>Important for independent African kingship and Egyptian interaction.</t>
        </is>
      </c>
      <c r="Q179" s="2" t="inlineStr">
        <is>
          <t>Low</t>
        </is>
      </c>
      <c r="R179" s="2" t="inlineStr">
        <is>
          <t>Not applicable</t>
        </is>
      </c>
      <c r="S179" s="2" t="inlineStr">
        <is>
          <t>Medium</t>
        </is>
      </c>
      <c r="T179" s="2" t="inlineStr">
        <is>
          <t>UNESCO</t>
        </is>
      </c>
      <c r="U179" s="8" t="inlineStr">
        <is>
          <t>https://whc.unesco.org/</t>
        </is>
      </c>
      <c r="V179" s="2" t="inlineStr">
        <is>
          <t>Internet Archive</t>
        </is>
      </c>
      <c r="W179" s="8" t="inlineStr">
        <is>
          <t>https://archive.org/</t>
        </is>
      </c>
      <c r="X179" s="2" t="inlineStr">
        <is>
          <t>British Museum Collection</t>
        </is>
      </c>
      <c r="Y179" s="8" t="inlineStr">
        <is>
          <t>https://www.britishmuseum.org/collection</t>
        </is>
      </c>
      <c r="Z179" s="2" t="inlineStr">
        <is>
          <t>UNESCO</t>
        </is>
      </c>
      <c r="AA179" s="8" t="inlineStr">
        <is>
          <t>https://whc.unesco.org/</t>
        </is>
      </c>
      <c r="AB179" s="2" t="inlineStr">
        <is>
          <t>UNESCO</t>
        </is>
      </c>
      <c r="AC179" s="8" t="inlineStr">
        <is>
          <t>https://whc.unesco.org/</t>
        </is>
      </c>
      <c r="AD179" s="2" t="inlineStr">
        <is>
          <t>Napata archaeology</t>
        </is>
      </c>
      <c r="AE179" s="2" t="inlineStr">
        <is>
          <t>Often best paired with Meroe and Nubian pyramids.</t>
        </is>
      </c>
      <c r="AF179" s="2" t="inlineStr">
        <is>
          <t>Royal cult; pyramids</t>
        </is>
      </c>
      <c r="AG179" s="2" t="inlineStr">
        <is>
          <t>Medium</t>
        </is>
      </c>
      <c r="AH179" s="2" t="inlineStr">
        <is>
          <t>Medium</t>
        </is>
      </c>
      <c r="AI179" s="2" t="inlineStr"/>
      <c r="AJ179" t="inlineStr">
        <is>
          <t>https://whc.unesco.org/en/search/?searchterm=Napata+archaeology</t>
        </is>
      </c>
      <c r="AK179" t="inlineStr">
        <is>
          <t>https://archive.org/search?query=Napata+archaeology</t>
        </is>
      </c>
      <c r="AL179" t="inlineStr">
        <is>
          <t>https://www.britishmuseum.org/collection/search?keyword=Napata+archaeology</t>
        </is>
      </c>
      <c r="AM179" t="inlineStr">
        <is>
          <t>https://whc.unesco.org/en/search/?searchterm=Napata+archaeology</t>
        </is>
      </c>
      <c r="AN179" t="inlineStr">
        <is>
          <t>https://whc.unesco.org/en/search/?searchterm=Napata+archaeology</t>
        </is>
      </c>
      <c r="AO179" t="inlineStr">
        <is>
          <t>1) Fact base: UNESCO. 2) Translation/text: Internet Archive. 3) Images/objects: British Museum Collection. 4) Context/explanation: UNESCO. 5) Geography/maps: UNESCO. Use Suggested_Search_Term inside each portal.</t>
        </is>
      </c>
      <c r="AP179" t="inlineStr">
        <is>
          <t>Mixed: direct portal homepages plus search-result URLs where the portal exposes a public search endpoint.</t>
        </is>
      </c>
    </row>
    <row r="180">
      <c r="A180" s="2" t="n">
        <v>179</v>
      </c>
      <c r="B180" s="9" t="inlineStr">
        <is>
          <t>Later_witness_or_post_1AD_relevance</t>
        </is>
      </c>
      <c r="C180" s="2" t="inlineStr">
        <is>
          <t>Africa (outside Egypt)</t>
        </is>
      </c>
      <c r="D180" s="2" t="inlineStr">
        <is>
          <t>African traditions beyond Egypt</t>
        </is>
      </c>
      <c r="E180" s="2" t="n">
        <v>-300</v>
      </c>
      <c r="F180" s="2" t="n">
        <v>300</v>
      </c>
      <c r="G180" s="2" t="inlineStr">
        <is>
          <t>c. 300 BCE to 300 CE</t>
        </is>
      </c>
      <c r="H180" s="2" t="inlineStr">
        <is>
          <t>Meroe</t>
        </is>
      </c>
      <c r="I180" s="2" t="inlineStr">
        <is>
          <t>Site</t>
        </is>
      </c>
      <c r="J180" s="2" t="inlineStr">
        <is>
          <t>Archaeology</t>
        </is>
      </c>
      <c r="K180" s="2" t="inlineStr">
        <is>
          <t>Kingship</t>
        </is>
      </c>
      <c r="L180" s="2" t="inlineStr">
        <is>
          <t>Script</t>
        </is>
      </c>
      <c r="M180" s="2" t="inlineStr">
        <is>
          <t>Sudan</t>
        </is>
      </c>
      <c r="N180" s="2" t="inlineStr">
        <is>
          <t>Middle Nile</t>
        </is>
      </c>
      <c r="O180" s="2" t="inlineStr">
        <is>
          <t>Kushite capital with pyramids and Meroitic inscriptions.</t>
        </is>
      </c>
      <c r="P180" s="2" t="inlineStr">
        <is>
          <t>Important but spills beyond 1 CE in much of its record.</t>
        </is>
      </c>
      <c r="Q180" s="2" t="inlineStr">
        <is>
          <t>Low</t>
        </is>
      </c>
      <c r="R180" s="2" t="inlineStr">
        <is>
          <t>Partial</t>
        </is>
      </c>
      <c r="S180" s="2" t="inlineStr">
        <is>
          <t>High</t>
        </is>
      </c>
      <c r="T180" s="2" t="inlineStr">
        <is>
          <t>UNESCO</t>
        </is>
      </c>
      <c r="U180" s="8" t="inlineStr">
        <is>
          <t>https://whc.unesco.org/</t>
        </is>
      </c>
      <c r="V180" s="2" t="inlineStr">
        <is>
          <t>Internet Archive</t>
        </is>
      </c>
      <c r="W180" s="8" t="inlineStr">
        <is>
          <t>https://archive.org/</t>
        </is>
      </c>
      <c r="X180" s="2" t="inlineStr">
        <is>
          <t>British Museum Collection</t>
        </is>
      </c>
      <c r="Y180" s="8" t="inlineStr">
        <is>
          <t>https://www.britishmuseum.org/collection</t>
        </is>
      </c>
      <c r="Z180" s="2" t="inlineStr">
        <is>
          <t>UNESCO</t>
        </is>
      </c>
      <c r="AA180" s="8" t="inlineStr">
        <is>
          <t>https://whc.unesco.org/</t>
        </is>
      </c>
      <c r="AB180" s="2" t="inlineStr">
        <is>
          <t>UNESCO</t>
        </is>
      </c>
      <c r="AC180" s="8" t="inlineStr">
        <is>
          <t>https://whc.unesco.org/</t>
        </is>
      </c>
      <c r="AD180" s="2" t="inlineStr">
        <is>
          <t>Meroe archaeology</t>
        </is>
      </c>
      <c r="AE180" s="2" t="inlineStr">
        <is>
          <t>Some key material is post-1 AD.</t>
        </is>
      </c>
      <c r="AF180" s="2" t="inlineStr">
        <is>
          <t>African script; pyramids</t>
        </is>
      </c>
      <c r="AG180" s="2" t="inlineStr">
        <is>
          <t>Medium</t>
        </is>
      </c>
      <c r="AH180" s="2" t="inlineStr">
        <is>
          <t>Medium</t>
        </is>
      </c>
      <c r="AI180" s="2" t="inlineStr"/>
      <c r="AJ180" t="inlineStr">
        <is>
          <t>https://whc.unesco.org/en/search/?searchterm=Meroe+archaeology</t>
        </is>
      </c>
      <c r="AK180" t="inlineStr">
        <is>
          <t>https://archive.org/search?query=Meroe+archaeology</t>
        </is>
      </c>
      <c r="AL180" t="inlineStr">
        <is>
          <t>https://www.britishmuseum.org/collection/search?keyword=Meroe+archaeology</t>
        </is>
      </c>
      <c r="AM180" t="inlineStr">
        <is>
          <t>https://whc.unesco.org/en/search/?searchterm=Meroe+archaeology</t>
        </is>
      </c>
      <c r="AN180" t="inlineStr">
        <is>
          <t>https://whc.unesco.org/en/search/?searchterm=Meroe+archaeology</t>
        </is>
      </c>
      <c r="AO180" t="inlineStr">
        <is>
          <t>1) Fact base: UNESCO. 2) Translation/text: Internet Archive. 3) Images/objects: British Museum Collection. 4) Context/explanation: UNESCO. 5) Geography/maps: UNESCO. Use Suggested_Search_Term inside each portal.</t>
        </is>
      </c>
      <c r="AP180" t="inlineStr">
        <is>
          <t>Mixed: direct portal homepages plus search-result URLs where the portal exposes a public search endpoint.</t>
        </is>
      </c>
    </row>
    <row r="181">
      <c r="A181" s="2" t="n">
        <v>180</v>
      </c>
      <c r="B181" s="9" t="inlineStr">
        <is>
          <t>Later_witness_or_post_1AD_relevance</t>
        </is>
      </c>
      <c r="C181" s="2" t="inlineStr">
        <is>
          <t>Africa (outside Egypt)</t>
        </is>
      </c>
      <c r="D181" s="2" t="inlineStr">
        <is>
          <t>African traditions beyond Egypt</t>
        </is>
      </c>
      <c r="E181" s="2" t="n">
        <v>-800</v>
      </c>
      <c r="F181" s="2" t="n">
        <v>300</v>
      </c>
      <c r="G181" s="2" t="inlineStr">
        <is>
          <t>c. 800 BCE to 300 CE</t>
        </is>
      </c>
      <c r="H181" s="2" t="inlineStr">
        <is>
          <t>Nubian pyramids corpus</t>
        </is>
      </c>
      <c r="I181" s="2" t="inlineStr">
        <is>
          <t>Monument corpus</t>
        </is>
      </c>
      <c r="J181" s="2" t="inlineStr">
        <is>
          <t>Archaeology</t>
        </is>
      </c>
      <c r="K181" s="2" t="inlineStr">
        <is>
          <t>Burial</t>
        </is>
      </c>
      <c r="L181" s="2" t="inlineStr">
        <is>
          <t>Kingship</t>
        </is>
      </c>
      <c r="M181" s="2" t="inlineStr">
        <is>
          <t>Sudan</t>
        </is>
      </c>
      <c r="N181" s="2" t="inlineStr">
        <is>
          <t>Kush/Nubia</t>
        </is>
      </c>
      <c r="O181" s="2" t="inlineStr">
        <is>
          <t>Pyramid fields preserving burial and royal ideology in Nubia.</t>
        </is>
      </c>
      <c r="P181" s="2" t="inlineStr">
        <is>
          <t>Commonly compared with Egypt but deserving independent treatment.</t>
        </is>
      </c>
      <c r="Q181" s="2" t="inlineStr">
        <is>
          <t>Medium</t>
        </is>
      </c>
      <c r="R181" s="2" t="inlineStr">
        <is>
          <t>Not applicable</t>
        </is>
      </c>
      <c r="S181" s="2" t="inlineStr">
        <is>
          <t>High</t>
        </is>
      </c>
      <c r="T181" s="2" t="inlineStr">
        <is>
          <t>UNESCO</t>
        </is>
      </c>
      <c r="U181" s="8" t="inlineStr">
        <is>
          <t>https://whc.unesco.org/</t>
        </is>
      </c>
      <c r="V181" s="2" t="inlineStr">
        <is>
          <t>Internet Archive</t>
        </is>
      </c>
      <c r="W181" s="8" t="inlineStr">
        <is>
          <t>https://archive.org/</t>
        </is>
      </c>
      <c r="X181" s="2" t="inlineStr">
        <is>
          <t>British Museum Collection</t>
        </is>
      </c>
      <c r="Y181" s="8" t="inlineStr">
        <is>
          <t>https://www.britishmuseum.org/collection</t>
        </is>
      </c>
      <c r="Z181" s="2" t="inlineStr">
        <is>
          <t>UNESCO</t>
        </is>
      </c>
      <c r="AA181" s="8" t="inlineStr">
        <is>
          <t>https://whc.unesco.org/</t>
        </is>
      </c>
      <c r="AB181" s="2" t="inlineStr">
        <is>
          <t>UNESCO</t>
        </is>
      </c>
      <c r="AC181" s="8" t="inlineStr">
        <is>
          <t>https://whc.unesco.org/</t>
        </is>
      </c>
      <c r="AD181" s="2" t="inlineStr">
        <is>
          <t>Nubian pyramids</t>
        </is>
      </c>
      <c r="AE181" s="2" t="inlineStr">
        <is>
          <t>Keep regional chronology explicit.</t>
        </is>
      </c>
      <c r="AF181" s="2" t="inlineStr">
        <is>
          <t>Burial architecture; kingship</t>
        </is>
      </c>
      <c r="AG181" s="2" t="inlineStr">
        <is>
          <t>Medium</t>
        </is>
      </c>
      <c r="AH181" s="2" t="inlineStr">
        <is>
          <t>Medium</t>
        </is>
      </c>
      <c r="AI181" s="2" t="inlineStr"/>
      <c r="AJ181" t="inlineStr">
        <is>
          <t>https://whc.unesco.org/en/search/?searchterm=Nubian+pyramids</t>
        </is>
      </c>
      <c r="AK181" t="inlineStr">
        <is>
          <t>https://archive.org/search?query=Nubian+pyramids</t>
        </is>
      </c>
      <c r="AL181" t="inlineStr">
        <is>
          <t>https://www.britishmuseum.org/collection/search?keyword=Nubian+pyramids</t>
        </is>
      </c>
      <c r="AM181" t="inlineStr">
        <is>
          <t>https://whc.unesco.org/en/search/?searchterm=Nubian+pyramids</t>
        </is>
      </c>
      <c r="AN181" t="inlineStr">
        <is>
          <t>https://whc.unesco.org/en/search/?searchterm=Nubian+pyramids</t>
        </is>
      </c>
      <c r="AO181" t="inlineStr">
        <is>
          <t>1) Fact base: UNESCO. 2) Translation/text: Internet Archive. 3) Images/objects: British Museum Collection. 4) Context/explanation: UNESCO. 5) Geography/maps: UNESCO. Use Suggested_Search_Term inside each portal.</t>
        </is>
      </c>
      <c r="AP181" t="inlineStr">
        <is>
          <t>Mixed: direct portal homepages plus search-result URLs where the portal exposes a public search endpoint.</t>
        </is>
      </c>
    </row>
    <row r="182">
      <c r="A182" s="2" t="n">
        <v>181</v>
      </c>
      <c r="B182" s="7" t="inlineStr">
        <is>
          <t>BCE_to_1AD</t>
        </is>
      </c>
      <c r="C182" s="2" t="inlineStr">
        <is>
          <t>Africa (outside Egypt)</t>
        </is>
      </c>
      <c r="D182" s="2" t="inlineStr">
        <is>
          <t>African traditions beyond Egypt</t>
        </is>
      </c>
      <c r="E182" s="2" t="n">
        <v>-5000</v>
      </c>
      <c r="F182" s="2" t="n">
        <v>-1000</v>
      </c>
      <c r="G182" s="2" t="inlineStr">
        <is>
          <t>c. 5000 BCE to 1000 BCE</t>
        </is>
      </c>
      <c r="H182" s="2" t="inlineStr">
        <is>
          <t>Tassili n'Ajjer rock art</t>
        </is>
      </c>
      <c r="I182" s="2" t="inlineStr">
        <is>
          <t>Artifact corpus</t>
        </is>
      </c>
      <c r="J182" s="2" t="inlineStr">
        <is>
          <t>Rock art</t>
        </is>
      </c>
      <c r="K182" s="2" t="inlineStr">
        <is>
          <t>Pastoralism</t>
        </is>
      </c>
      <c r="L182" s="2" t="inlineStr">
        <is>
          <t>Mythic imagery</t>
        </is>
      </c>
      <c r="M182" s="2" t="inlineStr">
        <is>
          <t>Algeria</t>
        </is>
      </c>
      <c r="N182" s="2" t="inlineStr">
        <is>
          <t>Central Sahara</t>
        </is>
      </c>
      <c r="O182" s="2" t="inlineStr">
        <is>
          <t>Large Saharan rock-art corpus with changing environmental and cultural phases.</t>
        </is>
      </c>
      <c r="P182" s="2" t="inlineStr">
        <is>
          <t>Often cited in ancient-contact claims; best used through chronology and motif study.</t>
        </is>
      </c>
      <c r="Q182" s="2" t="inlineStr">
        <is>
          <t>High</t>
        </is>
      </c>
      <c r="R182" s="2" t="inlineStr">
        <is>
          <t>Not applicable</t>
        </is>
      </c>
      <c r="S182" s="2" t="inlineStr">
        <is>
          <t>High</t>
        </is>
      </c>
      <c r="T182" s="2" t="inlineStr">
        <is>
          <t>UNESCO</t>
        </is>
      </c>
      <c r="U182" s="8" t="inlineStr">
        <is>
          <t>https://whc.unesco.org/</t>
        </is>
      </c>
      <c r="V182" s="2" t="inlineStr">
        <is>
          <t>Internet Archive</t>
        </is>
      </c>
      <c r="W182" s="8" t="inlineStr">
        <is>
          <t>https://archive.org/</t>
        </is>
      </c>
      <c r="X182" s="2" t="inlineStr">
        <is>
          <t>British Museum Collection</t>
        </is>
      </c>
      <c r="Y182" s="8" t="inlineStr">
        <is>
          <t>https://www.britishmuseum.org/collection</t>
        </is>
      </c>
      <c r="Z182" s="2" t="inlineStr">
        <is>
          <t>UNESCO</t>
        </is>
      </c>
      <c r="AA182" s="8" t="inlineStr">
        <is>
          <t>https://whc.unesco.org/</t>
        </is>
      </c>
      <c r="AB182" s="2" t="inlineStr">
        <is>
          <t>UNESCO</t>
        </is>
      </c>
      <c r="AC182" s="8" t="inlineStr">
        <is>
          <t>https://whc.unesco.org/</t>
        </is>
      </c>
      <c r="AD182" s="2" t="inlineStr">
        <is>
          <t>Tassili UNESCO</t>
        </is>
      </c>
      <c r="AE182" s="2" t="inlineStr">
        <is>
          <t>Image-rich but interpretation-sensitive.</t>
        </is>
      </c>
      <c r="AF182" s="2" t="inlineStr">
        <is>
          <t>Sky beings claims; pastoral memory</t>
        </is>
      </c>
      <c r="AG182" s="2" t="inlineStr">
        <is>
          <t>High</t>
        </is>
      </c>
      <c r="AH182" s="2" t="inlineStr">
        <is>
          <t>High</t>
        </is>
      </c>
      <c r="AI182" s="2" t="inlineStr"/>
      <c r="AJ182" t="inlineStr">
        <is>
          <t>https://whc.unesco.org/en/search/?searchterm=Tassili+UNESCO</t>
        </is>
      </c>
      <c r="AK182" t="inlineStr">
        <is>
          <t>https://archive.org/search?query=Tassili+UNESCO</t>
        </is>
      </c>
      <c r="AL182" t="inlineStr">
        <is>
          <t>https://www.britishmuseum.org/collection/search?keyword=Tassili+UNESCO</t>
        </is>
      </c>
      <c r="AM182" t="inlineStr">
        <is>
          <t>https://whc.unesco.org/en/search/?searchterm=Tassili+UNESCO</t>
        </is>
      </c>
      <c r="AN182" t="inlineStr">
        <is>
          <t>https://whc.unesco.org/en/search/?searchterm=Tassili+UNESCO</t>
        </is>
      </c>
      <c r="AO182" t="inlineStr">
        <is>
          <t>1) Fact base: UNESCO. 2) Translation/text: Internet Archive. 3) Images/objects: British Museum Collection. 4) Context/explanation: UNESCO. 5) Geography/maps: UNESCO. Use Suggested_Search_Term inside each portal.</t>
        </is>
      </c>
      <c r="AP182" t="inlineStr">
        <is>
          <t>Mixed: direct portal homepages plus search-result URLs where the portal exposes a public search endpoint.</t>
        </is>
      </c>
    </row>
    <row r="183">
      <c r="A183" s="2" t="n">
        <v>182</v>
      </c>
      <c r="B183" s="7" t="inlineStr">
        <is>
          <t>BCE_to_1AD</t>
        </is>
      </c>
      <c r="C183" s="2" t="inlineStr">
        <is>
          <t>Africa (outside Egypt)</t>
        </is>
      </c>
      <c r="D183" s="2" t="inlineStr">
        <is>
          <t>African traditions beyond Egypt</t>
        </is>
      </c>
      <c r="E183" s="2" t="n">
        <v>-800</v>
      </c>
      <c r="F183" s="2" t="n">
        <v>-146</v>
      </c>
      <c r="G183" s="2" t="inlineStr">
        <is>
          <t>c. 800 BCE to 146 BCE</t>
        </is>
      </c>
      <c r="H183" s="2" t="inlineStr">
        <is>
          <t>Carthage and Punic tophets</t>
        </is>
      </c>
      <c r="I183" s="2" t="inlineStr">
        <is>
          <t>Site / artifact corpus</t>
        </is>
      </c>
      <c r="J183" s="2" t="inlineStr">
        <is>
          <t>Archaeology</t>
        </is>
      </c>
      <c r="K183" s="2" t="inlineStr">
        <is>
          <t>Phoenician religion</t>
        </is>
      </c>
      <c r="L183" s="2" t="inlineStr">
        <is>
          <t>Colonial networks</t>
        </is>
      </c>
      <c r="M183" s="2" t="inlineStr">
        <is>
          <t>Tunisia</t>
        </is>
      </c>
      <c r="N183" s="2" t="inlineStr">
        <is>
          <t>Punic world</t>
        </is>
      </c>
      <c r="O183" s="2" t="inlineStr">
        <is>
          <t>Major Punic city and its ritual/burial installations.</t>
        </is>
      </c>
      <c r="P183" s="2" t="inlineStr">
        <is>
          <t>Important western Mediterranean branch of Levantine religion and empire.</t>
        </is>
      </c>
      <c r="Q183" s="2" t="inlineStr">
        <is>
          <t>Medium</t>
        </is>
      </c>
      <c r="R183" s="2" t="inlineStr">
        <is>
          <t>Not applicable</t>
        </is>
      </c>
      <c r="S183" s="2" t="inlineStr">
        <is>
          <t>High</t>
        </is>
      </c>
      <c r="T183" s="2" t="inlineStr">
        <is>
          <t>UNESCO</t>
        </is>
      </c>
      <c r="U183" s="8" t="inlineStr">
        <is>
          <t>https://whc.unesco.org/</t>
        </is>
      </c>
      <c r="V183" s="2" t="inlineStr">
        <is>
          <t>Internet Archive</t>
        </is>
      </c>
      <c r="W183" s="8" t="inlineStr">
        <is>
          <t>https://archive.org/</t>
        </is>
      </c>
      <c r="X183" s="2" t="inlineStr">
        <is>
          <t>British Museum Collection</t>
        </is>
      </c>
      <c r="Y183" s="8" t="inlineStr">
        <is>
          <t>https://www.britishmuseum.org/collection</t>
        </is>
      </c>
      <c r="Z183" s="2" t="inlineStr">
        <is>
          <t>UNESCO</t>
        </is>
      </c>
      <c r="AA183" s="8" t="inlineStr">
        <is>
          <t>https://whc.unesco.org/</t>
        </is>
      </c>
      <c r="AB183" s="2" t="inlineStr">
        <is>
          <t>UNESCO</t>
        </is>
      </c>
      <c r="AC183" s="8" t="inlineStr">
        <is>
          <t>https://whc.unesco.org/</t>
        </is>
      </c>
      <c r="AD183" s="2" t="inlineStr">
        <is>
          <t>Carthage UNESCO</t>
        </is>
      </c>
      <c r="AE183" s="2" t="inlineStr">
        <is>
          <t>Tophet interpretation remains debated.</t>
        </is>
      </c>
      <c r="AF183" s="2" t="inlineStr">
        <is>
          <t>Phoenician diaspora; ritual controversy</t>
        </is>
      </c>
      <c r="AG183" s="2" t="inlineStr">
        <is>
          <t>Medium</t>
        </is>
      </c>
      <c r="AH183" s="2" t="inlineStr">
        <is>
          <t>Medium</t>
        </is>
      </c>
      <c r="AI183" s="2" t="inlineStr"/>
      <c r="AJ183" t="inlineStr">
        <is>
          <t>https://whc.unesco.org/en/search/?searchterm=Carthage+UNESCO</t>
        </is>
      </c>
      <c r="AK183" t="inlineStr">
        <is>
          <t>https://archive.org/search?query=Carthage+UNESCO</t>
        </is>
      </c>
      <c r="AL183" t="inlineStr">
        <is>
          <t>https://www.britishmuseum.org/collection/search?keyword=Carthage+UNESCO</t>
        </is>
      </c>
      <c r="AM183" t="inlineStr">
        <is>
          <t>https://whc.unesco.org/en/search/?searchterm=Carthage+UNESCO</t>
        </is>
      </c>
      <c r="AN183" t="inlineStr">
        <is>
          <t>https://whc.unesco.org/en/search/?searchterm=Carthage+UNESCO</t>
        </is>
      </c>
      <c r="AO183" t="inlineStr">
        <is>
          <t>1) Fact base: UNESCO. 2) Translation/text: Internet Archive. 3) Images/objects: British Museum Collection. 4) Context/explanation: UNESCO. 5) Geography/maps: UNESCO. Use Suggested_Search_Term inside each portal.</t>
        </is>
      </c>
      <c r="AP183" t="inlineStr">
        <is>
          <t>Mixed: direct portal homepages plus search-result URLs where the portal exposes a public search endpoint.</t>
        </is>
      </c>
    </row>
    <row r="184">
      <c r="A184" s="2" t="n">
        <v>183</v>
      </c>
      <c r="B184" s="7" t="inlineStr">
        <is>
          <t>BCE_to_1AD</t>
        </is>
      </c>
      <c r="C184" s="2" t="inlineStr">
        <is>
          <t>Africa (outside Egypt)</t>
        </is>
      </c>
      <c r="D184" s="2" t="inlineStr">
        <is>
          <t>African traditions beyond Egypt</t>
        </is>
      </c>
      <c r="E184" s="2" t="n">
        <v>-900</v>
      </c>
      <c r="F184" s="2" t="n">
        <v>-600</v>
      </c>
      <c r="G184" s="2" t="inlineStr">
        <is>
          <t>c. 900 BCE to 600 BCE</t>
        </is>
      </c>
      <c r="H184" s="2" t="inlineStr">
        <is>
          <t>Nora Stone and Punic inscriptions</t>
        </is>
      </c>
      <c r="I184" s="2" t="inlineStr">
        <is>
          <t>Inscription corpus</t>
        </is>
      </c>
      <c r="J184" s="2" t="inlineStr">
        <is>
          <t>Stone inscriptions</t>
        </is>
      </c>
      <c r="K184" s="2" t="inlineStr">
        <is>
          <t>Maritime expansion</t>
        </is>
      </c>
      <c r="L184" s="2" t="inlineStr">
        <is>
          <t>Punic identity</t>
        </is>
      </c>
      <c r="M184" s="2" t="inlineStr">
        <is>
          <t>Sardinia / Mediterranean</t>
        </is>
      </c>
      <c r="N184" s="2" t="inlineStr">
        <is>
          <t>Punic world</t>
        </is>
      </c>
      <c r="O184" s="2" t="inlineStr">
        <is>
          <t>Early Punic inscriptions useful for western Phoenician spread.</t>
        </is>
      </c>
      <c r="P184" s="2" t="inlineStr">
        <is>
          <t>Good epigraphic control for colonial networks.</t>
        </is>
      </c>
      <c r="Q184" s="2" t="inlineStr">
        <is>
          <t>Low</t>
        </is>
      </c>
      <c r="R184" s="2" t="inlineStr">
        <is>
          <t>Partial</t>
        </is>
      </c>
      <c r="S184" s="2" t="inlineStr">
        <is>
          <t>High</t>
        </is>
      </c>
      <c r="T184" s="2" t="inlineStr">
        <is>
          <t>UNESCO</t>
        </is>
      </c>
      <c r="U184" s="8" t="inlineStr">
        <is>
          <t>https://whc.unesco.org/</t>
        </is>
      </c>
      <c r="V184" s="2" t="inlineStr">
        <is>
          <t>Internet Archive</t>
        </is>
      </c>
      <c r="W184" s="8" t="inlineStr">
        <is>
          <t>https://archive.org/</t>
        </is>
      </c>
      <c r="X184" s="2" t="inlineStr">
        <is>
          <t>British Museum Collection</t>
        </is>
      </c>
      <c r="Y184" s="8" t="inlineStr">
        <is>
          <t>https://www.britishmuseum.org/collection</t>
        </is>
      </c>
      <c r="Z184" s="2" t="inlineStr">
        <is>
          <t>UNESCO</t>
        </is>
      </c>
      <c r="AA184" s="8" t="inlineStr">
        <is>
          <t>https://whc.unesco.org/</t>
        </is>
      </c>
      <c r="AB184" s="2" t="inlineStr">
        <is>
          <t>UNESCO</t>
        </is>
      </c>
      <c r="AC184" s="8" t="inlineStr">
        <is>
          <t>https://whc.unesco.org/</t>
        </is>
      </c>
      <c r="AD184" s="2" t="inlineStr">
        <is>
          <t>Punic inscriptions</t>
        </is>
      </c>
      <c r="AE184" s="2" t="inlineStr">
        <is>
          <t>Use corpora with photos and readings.</t>
        </is>
      </c>
      <c r="AF184" s="2" t="inlineStr">
        <is>
          <t>Colonies; seafaring</t>
        </is>
      </c>
      <c r="AG184" s="2" t="inlineStr">
        <is>
          <t>Low</t>
        </is>
      </c>
      <c r="AH184" s="2" t="inlineStr">
        <is>
          <t>Low</t>
        </is>
      </c>
      <c r="AI184" s="2" t="inlineStr"/>
      <c r="AJ184" t="inlineStr">
        <is>
          <t>https://whc.unesco.org/en/search/?searchterm=Punic+inscriptions</t>
        </is>
      </c>
      <c r="AK184" t="inlineStr">
        <is>
          <t>https://archive.org/search?query=Punic+inscriptions</t>
        </is>
      </c>
      <c r="AL184" t="inlineStr">
        <is>
          <t>https://www.britishmuseum.org/collection/search?keyword=Punic+inscriptions</t>
        </is>
      </c>
      <c r="AM184" t="inlineStr">
        <is>
          <t>https://whc.unesco.org/en/search/?searchterm=Punic+inscriptions</t>
        </is>
      </c>
      <c r="AN184" t="inlineStr">
        <is>
          <t>https://whc.unesco.org/en/search/?searchterm=Punic+inscriptions</t>
        </is>
      </c>
      <c r="AO184" t="inlineStr">
        <is>
          <t>1) Fact base: UNESCO. 2) Translation/text: Internet Archive. 3) Images/objects: British Museum Collection. 4) Context/explanation: UNESCO. 5) Geography/maps: UNESCO. Use Suggested_Search_Term inside each portal.</t>
        </is>
      </c>
      <c r="AP184" t="inlineStr">
        <is>
          <t>Mixed: direct portal homepages plus search-result URLs where the portal exposes a public search endpoint.</t>
        </is>
      </c>
    </row>
    <row r="185">
      <c r="A185" s="2" t="n">
        <v>184</v>
      </c>
      <c r="B185" s="9" t="inlineStr">
        <is>
          <t>Later_witness_or_post_1AD_relevance</t>
        </is>
      </c>
      <c r="C185" s="2" t="inlineStr">
        <is>
          <t>Africa (outside Egypt)</t>
        </is>
      </c>
      <c r="D185" s="2" t="inlineStr">
        <is>
          <t>African traditions beyond Egypt</t>
        </is>
      </c>
      <c r="E185" s="2" t="n">
        <v>-1000</v>
      </c>
      <c r="F185" s="2" t="n">
        <v>1900</v>
      </c>
      <c r="G185" s="2" t="inlineStr">
        <is>
          <t>c. 1000 BCE to 1900 CE</t>
        </is>
      </c>
      <c r="H185" s="2" t="inlineStr">
        <is>
          <t>Dogon cosmological traditions (later recorded)</t>
        </is>
      </c>
      <c r="I185" s="2" t="inlineStr">
        <is>
          <t>Oral tradition</t>
        </is>
      </c>
      <c r="J185" s="2" t="inlineStr">
        <is>
          <t>Ethnographic recording of older traditions</t>
        </is>
      </c>
      <c r="K185" s="2" t="inlineStr">
        <is>
          <t>Creation</t>
        </is>
      </c>
      <c r="L185" s="2" t="inlineStr">
        <is>
          <t>Sky beings</t>
        </is>
      </c>
      <c r="M185" s="2" t="inlineStr">
        <is>
          <t>Mali</t>
        </is>
      </c>
      <c r="N185" s="2" t="inlineStr">
        <is>
          <t>Dogon country</t>
        </is>
      </c>
      <c r="O185" s="2" t="inlineStr">
        <is>
          <t>Recorded cosmological and ritual traditions of the Dogon.</t>
        </is>
      </c>
      <c r="P185" s="2" t="inlineStr">
        <is>
          <t>Frequently misused in Sirius-contact theories; primary ethnography is essential.</t>
        </is>
      </c>
      <c r="Q185" s="2" t="inlineStr">
        <is>
          <t>High</t>
        </is>
      </c>
      <c r="R185" s="2" t="inlineStr">
        <is>
          <t>Partial</t>
        </is>
      </c>
      <c r="S185" s="2" t="inlineStr">
        <is>
          <t>Low</t>
        </is>
      </c>
      <c r="T185" s="2" t="inlineStr">
        <is>
          <t>UNESCO</t>
        </is>
      </c>
      <c r="U185" s="8" t="inlineStr">
        <is>
          <t>https://whc.unesco.org/</t>
        </is>
      </c>
      <c r="V185" s="2" t="inlineStr">
        <is>
          <t>Internet Archive</t>
        </is>
      </c>
      <c r="W185" s="8" t="inlineStr">
        <is>
          <t>https://archive.org/</t>
        </is>
      </c>
      <c r="X185" s="2" t="inlineStr">
        <is>
          <t>British Museum Collection</t>
        </is>
      </c>
      <c r="Y185" s="8" t="inlineStr">
        <is>
          <t>https://www.britishmuseum.org/collection</t>
        </is>
      </c>
      <c r="Z185" s="2" t="inlineStr">
        <is>
          <t>UNESCO</t>
        </is>
      </c>
      <c r="AA185" s="8" t="inlineStr">
        <is>
          <t>https://whc.unesco.org/</t>
        </is>
      </c>
      <c r="AB185" s="2" t="inlineStr">
        <is>
          <t>UNESCO</t>
        </is>
      </c>
      <c r="AC185" s="8" t="inlineStr">
        <is>
          <t>https://whc.unesco.org/</t>
        </is>
      </c>
      <c r="AD185" s="2" t="inlineStr">
        <is>
          <t>Dogon oral tradition ethnography</t>
        </is>
      </c>
      <c r="AE185" s="2" t="inlineStr">
        <is>
          <t>Most famous extraterrestrial claims are late and controversial.</t>
        </is>
      </c>
      <c r="AF185" s="2" t="inlineStr">
        <is>
          <t>Sky lore; ancestor beings</t>
        </is>
      </c>
      <c r="AG185" s="2" t="inlineStr">
        <is>
          <t>High</t>
        </is>
      </c>
      <c r="AH185" s="2" t="inlineStr">
        <is>
          <t>High</t>
        </is>
      </c>
      <c r="AI185" s="2" t="inlineStr"/>
      <c r="AJ185" t="inlineStr">
        <is>
          <t>https://whc.unesco.org/en/search/?searchterm=Dogon+oral+tradition+ethnography</t>
        </is>
      </c>
      <c r="AK185" t="inlineStr">
        <is>
          <t>https://archive.org/search?query=Dogon+oral+tradition+ethnography</t>
        </is>
      </c>
      <c r="AL185" t="inlineStr">
        <is>
          <t>https://www.britishmuseum.org/collection/search?keyword=Dogon+oral+tradition+ethnography</t>
        </is>
      </c>
      <c r="AM185" t="inlineStr">
        <is>
          <t>https://whc.unesco.org/en/search/?searchterm=Dogon+oral+tradition+ethnography</t>
        </is>
      </c>
      <c r="AN185" t="inlineStr">
        <is>
          <t>https://whc.unesco.org/en/search/?searchterm=Dogon+oral+tradition+ethnography</t>
        </is>
      </c>
      <c r="AO185" t="inlineStr">
        <is>
          <t>1) Fact base: UNESCO. 2) Translation/text: Internet Archive. 3) Images/objects: British Museum Collection. 4) Context/explanation: UNESCO. 5) Geography/maps: UNESCO. Use Suggested_Search_Term inside each portal.</t>
        </is>
      </c>
      <c r="AP185" t="inlineStr">
        <is>
          <t>Mixed: direct portal homepages plus search-result URLs where the portal exposes a public search endpoint.</t>
        </is>
      </c>
    </row>
    <row r="186">
      <c r="A186" s="2" t="n">
        <v>185</v>
      </c>
      <c r="B186" s="7" t="inlineStr">
        <is>
          <t>BCE_to_1AD</t>
        </is>
      </c>
      <c r="C186" s="2" t="inlineStr">
        <is>
          <t>Mesoamerica</t>
        </is>
      </c>
      <c r="D186" s="2" t="inlineStr">
        <is>
          <t>Mesoamerican traditions</t>
        </is>
      </c>
      <c r="E186" s="2" t="n">
        <v>-1400</v>
      </c>
      <c r="F186" s="2" t="n">
        <v>-900</v>
      </c>
      <c r="G186" s="2" t="inlineStr">
        <is>
          <t>c. 1400 BCE to 900 BCE</t>
        </is>
      </c>
      <c r="H186" s="2" t="inlineStr">
        <is>
          <t>San Lorenzo</t>
        </is>
      </c>
      <c r="I186" s="2" t="inlineStr">
        <is>
          <t>Site</t>
        </is>
      </c>
      <c r="J186" s="2" t="inlineStr">
        <is>
          <t>Archaeology</t>
        </is>
      </c>
      <c r="K186" s="2" t="inlineStr">
        <is>
          <t>Olmec</t>
        </is>
      </c>
      <c r="L186" s="2" t="inlineStr">
        <is>
          <t>Monumental art</t>
        </is>
      </c>
      <c r="M186" s="2" t="inlineStr">
        <is>
          <t>Mexico</t>
        </is>
      </c>
      <c r="N186" s="2" t="inlineStr">
        <is>
          <t>Gulf Coast</t>
        </is>
      </c>
      <c r="O186" s="2" t="inlineStr">
        <is>
          <t>Early Olmec center with colossal heads and sculptural program.</t>
        </is>
      </c>
      <c r="P186" s="2" t="inlineStr">
        <is>
          <t>A baseline for Mesoamerican civilization before the Classic Maya.</t>
        </is>
      </c>
      <c r="Q186" s="2" t="inlineStr">
        <is>
          <t>High</t>
        </is>
      </c>
      <c r="R186" s="2" t="inlineStr">
        <is>
          <t>Not applicable</t>
        </is>
      </c>
      <c r="S186" s="2" t="inlineStr">
        <is>
          <t>High</t>
        </is>
      </c>
      <c r="T186" s="2" t="inlineStr">
        <is>
          <t>UNESCO</t>
        </is>
      </c>
      <c r="U186" s="8" t="inlineStr">
        <is>
          <t>https://whc.unesco.org/</t>
        </is>
      </c>
      <c r="V186" s="2" t="inlineStr">
        <is>
          <t>INAH</t>
        </is>
      </c>
      <c r="W186" s="8" t="inlineStr">
        <is>
          <t>https://www.inah.gob.mx/</t>
        </is>
      </c>
      <c r="X186" s="2" t="inlineStr">
        <is>
          <t>Smithsonian Open Access</t>
        </is>
      </c>
      <c r="Y186" s="8" t="inlineStr">
        <is>
          <t>https://www.si.edu/openaccess</t>
        </is>
      </c>
      <c r="Z186" s="2" t="inlineStr">
        <is>
          <t>UNESCO</t>
        </is>
      </c>
      <c r="AA186" s="8" t="inlineStr">
        <is>
          <t>https://whc.unesco.org/</t>
        </is>
      </c>
      <c r="AB186" s="2" t="inlineStr">
        <is>
          <t>UNESCO</t>
        </is>
      </c>
      <c r="AC186" s="8" t="inlineStr">
        <is>
          <t>https://whc.unesco.org/</t>
        </is>
      </c>
      <c r="AD186" s="2" t="inlineStr">
        <is>
          <t>San Lorenzo Olmec</t>
        </is>
      </c>
      <c r="AE186" s="2" t="inlineStr">
        <is>
          <t>Chronology and phases matter.</t>
        </is>
      </c>
      <c r="AF186" s="2" t="inlineStr">
        <is>
          <t>Early centers; colossal heads</t>
        </is>
      </c>
      <c r="AG186" s="2" t="inlineStr">
        <is>
          <t>Critical</t>
        </is>
      </c>
      <c r="AH186" s="2" t="inlineStr">
        <is>
          <t>High</t>
        </is>
      </c>
      <c r="AI186" s="2" t="inlineStr"/>
      <c r="AJ186" t="inlineStr">
        <is>
          <t>https://whc.unesco.org/en/search/?searchterm=San+Lorenzo+Olmec</t>
        </is>
      </c>
      <c r="AK186" t="inlineStr">
        <is>
          <t>https://www.inah.gob.mx/</t>
        </is>
      </c>
      <c r="AL186" t="inlineStr">
        <is>
          <t>https://www.si.edu/collection/search?edan_q=San+Lorenzo+Olmec</t>
        </is>
      </c>
      <c r="AM186" t="inlineStr">
        <is>
          <t>https://whc.unesco.org/en/search/?searchterm=San+Lorenzo+Olmec</t>
        </is>
      </c>
      <c r="AN186" t="inlineStr">
        <is>
          <t>https://whc.unesco.org/en/search/?searchterm=San+Lorenzo+Olmec</t>
        </is>
      </c>
      <c r="AO186" t="inlineStr">
        <is>
          <t>1) Fact base: UNESCO. 2) Translation/text: INAH. 3) Images/objects: Smithsonian Open Access. 4) Context/explanation: UNESCO. 5) Geography/maps: UNESCO. Use Suggested_Search_Term inside each portal.</t>
        </is>
      </c>
      <c r="AP186" t="inlineStr">
        <is>
          <t>Mixed: direct portal homepages plus search-result URLs where the portal exposes a public search endpoint.</t>
        </is>
      </c>
    </row>
    <row r="187">
      <c r="A187" s="2" t="n">
        <v>186</v>
      </c>
      <c r="B187" s="7" t="inlineStr">
        <is>
          <t>BCE_to_1AD</t>
        </is>
      </c>
      <c r="C187" s="2" t="inlineStr">
        <is>
          <t>Mesoamerica</t>
        </is>
      </c>
      <c r="D187" s="2" t="inlineStr">
        <is>
          <t>Mesoamerican traditions</t>
        </is>
      </c>
      <c r="E187" s="2" t="n">
        <v>-1000</v>
      </c>
      <c r="F187" s="2" t="n">
        <v>-400</v>
      </c>
      <c r="G187" s="2" t="inlineStr">
        <is>
          <t>c. 1000 BCE to 400 BCE</t>
        </is>
      </c>
      <c r="H187" s="2" t="inlineStr">
        <is>
          <t>La Venta</t>
        </is>
      </c>
      <c r="I187" s="2" t="inlineStr">
        <is>
          <t>Site</t>
        </is>
      </c>
      <c r="J187" s="2" t="inlineStr">
        <is>
          <t>Archaeology</t>
        </is>
      </c>
      <c r="K187" s="2" t="inlineStr">
        <is>
          <t>Olmec</t>
        </is>
      </c>
      <c r="L187" s="2" t="inlineStr">
        <is>
          <t>Ritual center</t>
        </is>
      </c>
      <c r="M187" s="2" t="inlineStr">
        <is>
          <t>Mexico</t>
        </is>
      </c>
      <c r="N187" s="2" t="inlineStr">
        <is>
          <t>Gulf Coast</t>
        </is>
      </c>
      <c r="O187" s="2" t="inlineStr">
        <is>
          <t>Olmec center with mounds, offerings, and sculptural complexes.</t>
        </is>
      </c>
      <c r="P187" s="2" t="inlineStr">
        <is>
          <t>Important for cosmograms, offerings, and structured ritual space.</t>
        </is>
      </c>
      <c r="Q187" s="2" t="inlineStr">
        <is>
          <t>High</t>
        </is>
      </c>
      <c r="R187" s="2" t="inlineStr">
        <is>
          <t>Not applicable</t>
        </is>
      </c>
      <c r="S187" s="2" t="inlineStr">
        <is>
          <t>High</t>
        </is>
      </c>
      <c r="T187" s="2" t="inlineStr">
        <is>
          <t>UNESCO</t>
        </is>
      </c>
      <c r="U187" s="8" t="inlineStr">
        <is>
          <t>https://whc.unesco.org/</t>
        </is>
      </c>
      <c r="V187" s="2" t="inlineStr">
        <is>
          <t>INAH</t>
        </is>
      </c>
      <c r="W187" s="8" t="inlineStr">
        <is>
          <t>https://www.inah.gob.mx/</t>
        </is>
      </c>
      <c r="X187" s="2" t="inlineStr">
        <is>
          <t>Smithsonian Open Access</t>
        </is>
      </c>
      <c r="Y187" s="8" t="inlineStr">
        <is>
          <t>https://www.si.edu/openaccess</t>
        </is>
      </c>
      <c r="Z187" s="2" t="inlineStr">
        <is>
          <t>UNESCO</t>
        </is>
      </c>
      <c r="AA187" s="8" t="inlineStr">
        <is>
          <t>https://whc.unesco.org/</t>
        </is>
      </c>
      <c r="AB187" s="2" t="inlineStr">
        <is>
          <t>UNESCO</t>
        </is>
      </c>
      <c r="AC187" s="8" t="inlineStr">
        <is>
          <t>https://whc.unesco.org/</t>
        </is>
      </c>
      <c r="AD187" s="2" t="inlineStr">
        <is>
          <t>La Venta Olmec</t>
        </is>
      </c>
      <c r="AE187" s="2" t="inlineStr">
        <is>
          <t>Good for comparing planned ceremonial centers.</t>
        </is>
      </c>
      <c r="AF187" s="2" t="inlineStr">
        <is>
          <t>Cosmograms; offerings; jaguar motifs</t>
        </is>
      </c>
      <c r="AG187" s="2" t="inlineStr">
        <is>
          <t>Critical</t>
        </is>
      </c>
      <c r="AH187" s="2" t="inlineStr">
        <is>
          <t>High</t>
        </is>
      </c>
      <c r="AI187" s="2" t="inlineStr"/>
      <c r="AJ187" t="inlineStr">
        <is>
          <t>https://whc.unesco.org/en/search/?searchterm=La+Venta+Olmec</t>
        </is>
      </c>
      <c r="AK187" t="inlineStr">
        <is>
          <t>https://www.inah.gob.mx/</t>
        </is>
      </c>
      <c r="AL187" t="inlineStr">
        <is>
          <t>https://www.si.edu/collection/search?edan_q=La+Venta+Olmec</t>
        </is>
      </c>
      <c r="AM187" t="inlineStr">
        <is>
          <t>https://whc.unesco.org/en/search/?searchterm=La+Venta+Olmec</t>
        </is>
      </c>
      <c r="AN187" t="inlineStr">
        <is>
          <t>https://whc.unesco.org/en/search/?searchterm=La+Venta+Olmec</t>
        </is>
      </c>
      <c r="AO187" t="inlineStr">
        <is>
          <t>1) Fact base: UNESCO. 2) Translation/text: INAH. 3) Images/objects: Smithsonian Open Access. 4) Context/explanation: UNESCO. 5) Geography/maps: UNESCO. Use Suggested_Search_Term inside each portal.</t>
        </is>
      </c>
      <c r="AP187" t="inlineStr">
        <is>
          <t>Mixed: direct portal homepages plus search-result URLs where the portal exposes a public search endpoint.</t>
        </is>
      </c>
    </row>
    <row r="188">
      <c r="A188" s="2" t="n">
        <v>187</v>
      </c>
      <c r="B188" s="7" t="inlineStr">
        <is>
          <t>BCE_to_1AD</t>
        </is>
      </c>
      <c r="C188" s="2" t="inlineStr">
        <is>
          <t>Mesoamerica</t>
        </is>
      </c>
      <c r="D188" s="2" t="inlineStr">
        <is>
          <t>Mesoamerican traditions</t>
        </is>
      </c>
      <c r="E188" s="2" t="n">
        <v>-900</v>
      </c>
      <c r="F188" s="2" t="n">
        <v>-400</v>
      </c>
      <c r="G188" s="2" t="inlineStr">
        <is>
          <t>c. 900 BCE to 400 BCE</t>
        </is>
      </c>
      <c r="H188" s="2" t="inlineStr">
        <is>
          <t>Olmec colossal heads</t>
        </is>
      </c>
      <c r="I188" s="2" t="inlineStr">
        <is>
          <t>Artifact corpus</t>
        </is>
      </c>
      <c r="J188" s="2" t="inlineStr">
        <is>
          <t>Basalt monuments</t>
        </is>
      </c>
      <c r="K188" s="2" t="inlineStr">
        <is>
          <t>Rulership</t>
        </is>
      </c>
      <c r="L188" s="2" t="inlineStr">
        <is>
          <t>Portraiture</t>
        </is>
      </c>
      <c r="M188" s="2" t="inlineStr">
        <is>
          <t>Mexico</t>
        </is>
      </c>
      <c r="N188" s="2" t="inlineStr">
        <is>
          <t>Olmec heartland</t>
        </is>
      </c>
      <c r="O188" s="2" t="inlineStr">
        <is>
          <t>Monumental basalt heads usually interpreted as elite or ruler portraits.</t>
        </is>
      </c>
      <c r="P188" s="2" t="inlineStr">
        <is>
          <t>A favorite of alternative theorists because of style and scale.</t>
        </is>
      </c>
      <c r="Q188" s="2" t="inlineStr">
        <is>
          <t>High</t>
        </is>
      </c>
      <c r="R188" s="2" t="inlineStr">
        <is>
          <t>Not applicable</t>
        </is>
      </c>
      <c r="S188" s="2" t="inlineStr">
        <is>
          <t>High</t>
        </is>
      </c>
      <c r="T188" s="2" t="inlineStr">
        <is>
          <t>UNESCO</t>
        </is>
      </c>
      <c r="U188" s="8" t="inlineStr">
        <is>
          <t>https://whc.unesco.org/</t>
        </is>
      </c>
      <c r="V188" s="2" t="inlineStr">
        <is>
          <t>INAH</t>
        </is>
      </c>
      <c r="W188" s="8" t="inlineStr">
        <is>
          <t>https://www.inah.gob.mx/</t>
        </is>
      </c>
      <c r="X188" s="2" t="inlineStr">
        <is>
          <t>Smithsonian Open Access</t>
        </is>
      </c>
      <c r="Y188" s="8" t="inlineStr">
        <is>
          <t>https://www.si.edu/openaccess</t>
        </is>
      </c>
      <c r="Z188" s="2" t="inlineStr">
        <is>
          <t>UNESCO</t>
        </is>
      </c>
      <c r="AA188" s="8" t="inlineStr">
        <is>
          <t>https://whc.unesco.org/</t>
        </is>
      </c>
      <c r="AB188" s="2" t="inlineStr">
        <is>
          <t>UNESCO</t>
        </is>
      </c>
      <c r="AC188" s="8" t="inlineStr">
        <is>
          <t>https://whc.unesco.org/</t>
        </is>
      </c>
      <c r="AD188" s="2" t="inlineStr">
        <is>
          <t>Olmec colossal heads</t>
        </is>
      </c>
      <c r="AE188" s="2" t="inlineStr">
        <is>
          <t>Physical transport/logistics are well studied.</t>
        </is>
      </c>
      <c r="AF188" s="2" t="inlineStr">
        <is>
          <t>Monumentality; rulership</t>
        </is>
      </c>
      <c r="AG188" s="2" t="inlineStr">
        <is>
          <t>Critical</t>
        </is>
      </c>
      <c r="AH188" s="2" t="inlineStr">
        <is>
          <t>High</t>
        </is>
      </c>
      <c r="AI188" s="2" t="inlineStr"/>
      <c r="AJ188" t="inlineStr">
        <is>
          <t>https://whc.unesco.org/en/search/?searchterm=Olmec+colossal+heads</t>
        </is>
      </c>
      <c r="AK188" t="inlineStr">
        <is>
          <t>https://www.inah.gob.mx/</t>
        </is>
      </c>
      <c r="AL188" t="inlineStr">
        <is>
          <t>https://www.si.edu/collection/search?edan_q=Olmec+colossal+heads</t>
        </is>
      </c>
      <c r="AM188" t="inlineStr">
        <is>
          <t>https://whc.unesco.org/en/search/?searchterm=Olmec+colossal+heads</t>
        </is>
      </c>
      <c r="AN188" t="inlineStr">
        <is>
          <t>https://whc.unesco.org/en/search/?searchterm=Olmec+colossal+heads</t>
        </is>
      </c>
      <c r="AO188" t="inlineStr">
        <is>
          <t>1) Fact base: UNESCO. 2) Translation/text: INAH. 3) Images/objects: Smithsonian Open Access. 4) Context/explanation: UNESCO. 5) Geography/maps: UNESCO. Use Suggested_Search_Term inside each portal.</t>
        </is>
      </c>
      <c r="AP188" t="inlineStr">
        <is>
          <t>Mixed: direct portal homepages plus search-result URLs where the portal exposes a public search endpoint.</t>
        </is>
      </c>
    </row>
    <row r="189">
      <c r="A189" s="2" t="n">
        <v>188</v>
      </c>
      <c r="B189" s="7" t="inlineStr">
        <is>
          <t>BCE_to_1AD</t>
        </is>
      </c>
      <c r="C189" s="2" t="inlineStr">
        <is>
          <t>Mesoamerica</t>
        </is>
      </c>
      <c r="D189" s="2" t="inlineStr">
        <is>
          <t>Mesoamerican traditions</t>
        </is>
      </c>
      <c r="E189" s="2" t="n">
        <v>-700</v>
      </c>
      <c r="F189" s="2" t="n">
        <v>-300</v>
      </c>
      <c r="G189" s="2" t="inlineStr">
        <is>
          <t>c. 700 BCE to 300 BCE</t>
        </is>
      </c>
      <c r="H189" s="2" t="inlineStr">
        <is>
          <t>Tres Zapotes</t>
        </is>
      </c>
      <c r="I189" s="2" t="inlineStr">
        <is>
          <t>Site</t>
        </is>
      </c>
      <c r="J189" s="2" t="inlineStr">
        <is>
          <t>Archaeology</t>
        </is>
      </c>
      <c r="K189" s="2" t="inlineStr">
        <is>
          <t>Olmec/Epi-Olmec</t>
        </is>
      </c>
      <c r="L189" s="2" t="inlineStr">
        <is>
          <t>Calendar</t>
        </is>
      </c>
      <c r="M189" s="2" t="inlineStr">
        <is>
          <t>Mexico</t>
        </is>
      </c>
      <c r="N189" s="2" t="inlineStr">
        <is>
          <t>Gulf Coast</t>
        </is>
      </c>
      <c r="O189" s="2" t="inlineStr">
        <is>
          <t>Important site including Stela C, associated with early Long Count date discussions.</t>
        </is>
      </c>
      <c r="P189" s="2" t="inlineStr">
        <is>
          <t>A key bridge into later Mesoamerican calendrics.</t>
        </is>
      </c>
      <c r="Q189" s="2" t="inlineStr">
        <is>
          <t>Medium</t>
        </is>
      </c>
      <c r="R189" s="2" t="inlineStr">
        <is>
          <t>Not applicable</t>
        </is>
      </c>
      <c r="S189" s="2" t="inlineStr">
        <is>
          <t>Medium</t>
        </is>
      </c>
      <c r="T189" s="2" t="inlineStr">
        <is>
          <t>UNESCO</t>
        </is>
      </c>
      <c r="U189" s="8" t="inlineStr">
        <is>
          <t>https://whc.unesco.org/</t>
        </is>
      </c>
      <c r="V189" s="2" t="inlineStr">
        <is>
          <t>INAH</t>
        </is>
      </c>
      <c r="W189" s="8" t="inlineStr">
        <is>
          <t>https://www.inah.gob.mx/</t>
        </is>
      </c>
      <c r="X189" s="2" t="inlineStr">
        <is>
          <t>Smithsonian Open Access</t>
        </is>
      </c>
      <c r="Y189" s="8" t="inlineStr">
        <is>
          <t>https://www.si.edu/openaccess</t>
        </is>
      </c>
      <c r="Z189" s="2" t="inlineStr">
        <is>
          <t>UNESCO</t>
        </is>
      </c>
      <c r="AA189" s="8" t="inlineStr">
        <is>
          <t>https://whc.unesco.org/</t>
        </is>
      </c>
      <c r="AB189" s="2" t="inlineStr">
        <is>
          <t>UNESCO</t>
        </is>
      </c>
      <c r="AC189" s="8" t="inlineStr">
        <is>
          <t>https://whc.unesco.org/</t>
        </is>
      </c>
      <c r="AD189" s="2" t="inlineStr">
        <is>
          <t>Tres Zapotes Stela C</t>
        </is>
      </c>
      <c r="AE189" s="2" t="inlineStr">
        <is>
          <t>Good for chronology debates.</t>
        </is>
      </c>
      <c r="AF189" s="2" t="inlineStr">
        <is>
          <t>Calendrics; continuity</t>
        </is>
      </c>
      <c r="AG189" s="2" t="inlineStr">
        <is>
          <t>High</t>
        </is>
      </c>
      <c r="AH189" s="2" t="inlineStr">
        <is>
          <t>Medium</t>
        </is>
      </c>
      <c r="AI189" s="2" t="inlineStr"/>
      <c r="AJ189" t="inlineStr">
        <is>
          <t>https://whc.unesco.org/en/search/?searchterm=Tres+Zapotes+Stela+C</t>
        </is>
      </c>
      <c r="AK189" t="inlineStr">
        <is>
          <t>https://www.inah.gob.mx/</t>
        </is>
      </c>
      <c r="AL189" t="inlineStr">
        <is>
          <t>https://www.si.edu/collection/search?edan_q=Tres+Zapotes+Stela+C</t>
        </is>
      </c>
      <c r="AM189" t="inlineStr">
        <is>
          <t>https://whc.unesco.org/en/search/?searchterm=Tres+Zapotes+Stela+C</t>
        </is>
      </c>
      <c r="AN189" t="inlineStr">
        <is>
          <t>https://whc.unesco.org/en/search/?searchterm=Tres+Zapotes+Stela+C</t>
        </is>
      </c>
      <c r="AO189" t="inlineStr">
        <is>
          <t>1) Fact base: UNESCO. 2) Translation/text: INAH. 3) Images/objects: Smithsonian Open Access. 4) Context/explanation: UNESCO. 5) Geography/maps: UNESCO. Use Suggested_Search_Term inside each portal.</t>
        </is>
      </c>
      <c r="AP189" t="inlineStr">
        <is>
          <t>Mixed: direct portal homepages plus search-result URLs where the portal exposes a public search endpoint.</t>
        </is>
      </c>
    </row>
    <row r="190">
      <c r="A190" s="2" t="n">
        <v>189</v>
      </c>
      <c r="B190" s="7" t="inlineStr">
        <is>
          <t>BCE_to_1AD</t>
        </is>
      </c>
      <c r="C190" s="2" t="inlineStr">
        <is>
          <t>Mesoamerica</t>
        </is>
      </c>
      <c r="D190" s="2" t="inlineStr">
        <is>
          <t>Mesoamerican traditions</t>
        </is>
      </c>
      <c r="E190" s="2" t="n">
        <v>-900</v>
      </c>
      <c r="F190" s="2" t="n">
        <v>-400</v>
      </c>
      <c r="G190" s="2" t="inlineStr">
        <is>
          <t>c. 900 BCE to 400 BCE</t>
        </is>
      </c>
      <c r="H190" s="2" t="inlineStr">
        <is>
          <t>Cascajal Block</t>
        </is>
      </c>
      <c r="I190" s="2" t="inlineStr">
        <is>
          <t>Artifact</t>
        </is>
      </c>
      <c r="J190" s="2" t="inlineStr">
        <is>
          <t>Inscribed block</t>
        </is>
      </c>
      <c r="K190" s="2" t="inlineStr">
        <is>
          <t>Script</t>
        </is>
      </c>
      <c r="L190" s="2" t="inlineStr">
        <is>
          <t>Early writing debate</t>
        </is>
      </c>
      <c r="M190" s="2" t="inlineStr">
        <is>
          <t>Mexico</t>
        </is>
      </c>
      <c r="N190" s="2" t="inlineStr">
        <is>
          <t>Veracruz</t>
        </is>
      </c>
      <c r="O190" s="2" t="inlineStr">
        <is>
          <t>Object claimed to bear an early writing system associated with the Olmec sphere.</t>
        </is>
      </c>
      <c r="P190" s="2" t="inlineStr">
        <is>
          <t>Frequently cited in origins-of-writing narratives.</t>
        </is>
      </c>
      <c r="Q190" s="2" t="inlineStr">
        <is>
          <t>High</t>
        </is>
      </c>
      <c r="R190" s="2" t="inlineStr">
        <is>
          <t>No/contested</t>
        </is>
      </c>
      <c r="S190" s="2" t="inlineStr">
        <is>
          <t>High</t>
        </is>
      </c>
      <c r="T190" s="2" t="inlineStr">
        <is>
          <t>UNESCO</t>
        </is>
      </c>
      <c r="U190" s="8" t="inlineStr">
        <is>
          <t>https://whc.unesco.org/</t>
        </is>
      </c>
      <c r="V190" s="2" t="inlineStr">
        <is>
          <t>INAH</t>
        </is>
      </c>
      <c r="W190" s="8" t="inlineStr">
        <is>
          <t>https://www.inah.gob.mx/</t>
        </is>
      </c>
      <c r="X190" s="2" t="inlineStr">
        <is>
          <t>Smithsonian Open Access</t>
        </is>
      </c>
      <c r="Y190" s="8" t="inlineStr">
        <is>
          <t>https://www.si.edu/openaccess</t>
        </is>
      </c>
      <c r="Z190" s="2" t="inlineStr">
        <is>
          <t>UNESCO</t>
        </is>
      </c>
      <c r="AA190" s="8" t="inlineStr">
        <is>
          <t>https://whc.unesco.org/</t>
        </is>
      </c>
      <c r="AB190" s="2" t="inlineStr">
        <is>
          <t>UNESCO</t>
        </is>
      </c>
      <c r="AC190" s="8" t="inlineStr">
        <is>
          <t>https://whc.unesco.org/</t>
        </is>
      </c>
      <c r="AD190" s="2" t="inlineStr">
        <is>
          <t>Cascajal Block</t>
        </is>
      </c>
      <c r="AE190" s="2" t="inlineStr">
        <is>
          <t>Authenticity and interpretation remain debated.</t>
        </is>
      </c>
      <c r="AF190" s="2" t="inlineStr">
        <is>
          <t>Writing origins; symbols</t>
        </is>
      </c>
      <c r="AG190" s="2" t="inlineStr">
        <is>
          <t>High</t>
        </is>
      </c>
      <c r="AH190" s="2" t="inlineStr">
        <is>
          <t>High</t>
        </is>
      </c>
      <c r="AI190" s="2" t="inlineStr"/>
      <c r="AJ190" t="inlineStr">
        <is>
          <t>https://whc.unesco.org/en/search/?searchterm=Cascajal+Block</t>
        </is>
      </c>
      <c r="AK190" t="inlineStr">
        <is>
          <t>https://www.inah.gob.mx/</t>
        </is>
      </c>
      <c r="AL190" t="inlineStr">
        <is>
          <t>https://www.si.edu/collection/search?edan_q=Cascajal+Block</t>
        </is>
      </c>
      <c r="AM190" t="inlineStr">
        <is>
          <t>https://whc.unesco.org/en/search/?searchterm=Cascajal+Block</t>
        </is>
      </c>
      <c r="AN190" t="inlineStr">
        <is>
          <t>https://whc.unesco.org/en/search/?searchterm=Cascajal+Block</t>
        </is>
      </c>
      <c r="AO190" t="inlineStr">
        <is>
          <t>1) Fact base: UNESCO. 2) Translation/text: INAH. 3) Images/objects: Smithsonian Open Access. 4) Context/explanation: UNESCO. 5) Geography/maps: UNESCO. Use Suggested_Search_Term inside each portal.</t>
        </is>
      </c>
      <c r="AP190" t="inlineStr">
        <is>
          <t>Mixed: direct portal homepages plus search-result URLs where the portal exposes a public search endpoint.</t>
        </is>
      </c>
    </row>
    <row r="191">
      <c r="A191" s="2" t="n">
        <v>190</v>
      </c>
      <c r="B191" s="9" t="inlineStr">
        <is>
          <t>Later_witness_or_post_1AD_relevance</t>
        </is>
      </c>
      <c r="C191" s="2" t="inlineStr">
        <is>
          <t>Mesoamerica</t>
        </is>
      </c>
      <c r="D191" s="2" t="inlineStr">
        <is>
          <t>Mesoamerican traditions</t>
        </is>
      </c>
      <c r="E191" s="2" t="n">
        <v>-300</v>
      </c>
      <c r="F191" s="2" t="n">
        <v>250</v>
      </c>
      <c r="G191" s="2" t="inlineStr">
        <is>
          <t>c. 300 BCE to 250 CE</t>
        </is>
      </c>
      <c r="H191" s="2" t="inlineStr">
        <is>
          <t>La Mojarra Stela 1</t>
        </is>
      </c>
      <c r="I191" s="2" t="inlineStr">
        <is>
          <t>Inscription</t>
        </is>
      </c>
      <c r="J191" s="2" t="inlineStr">
        <is>
          <t>Monument inscription</t>
        </is>
      </c>
      <c r="K191" s="2" t="inlineStr">
        <is>
          <t>Script</t>
        </is>
      </c>
      <c r="L191" s="2" t="inlineStr">
        <is>
          <t>Historical record</t>
        </is>
      </c>
      <c r="M191" s="2" t="inlineStr">
        <is>
          <t>Mexico</t>
        </is>
      </c>
      <c r="N191" s="2" t="inlineStr">
        <is>
          <t>Epi-Olmec sphere</t>
        </is>
      </c>
      <c r="O191" s="2" t="inlineStr">
        <is>
          <t>Stela with lengthy Isthmian/Epi-Olmec inscription and calendrical content.</t>
        </is>
      </c>
      <c r="P191" s="2" t="inlineStr">
        <is>
          <t>Important script and chronology source near the BCE/CE transition.</t>
        </is>
      </c>
      <c r="Q191" s="2" t="inlineStr">
        <is>
          <t>Medium</t>
        </is>
      </c>
      <c r="R191" s="2" t="inlineStr">
        <is>
          <t>Partial</t>
        </is>
      </c>
      <c r="S191" s="2" t="inlineStr">
        <is>
          <t>High</t>
        </is>
      </c>
      <c r="T191" s="2" t="inlineStr">
        <is>
          <t>FAMSI</t>
        </is>
      </c>
      <c r="U191" s="8" t="inlineStr">
        <is>
          <t>https://www.famsi.org/</t>
        </is>
      </c>
      <c r="V191" s="2" t="inlineStr">
        <is>
          <t>FAMSI</t>
        </is>
      </c>
      <c r="W191" s="8" t="inlineStr">
        <is>
          <t>https://www.famsi.org/</t>
        </is>
      </c>
      <c r="X191" s="2" t="inlineStr">
        <is>
          <t>Smithsonian Open Access</t>
        </is>
      </c>
      <c r="Y191" s="8" t="inlineStr">
        <is>
          <t>https://www.si.edu/openaccess</t>
        </is>
      </c>
      <c r="Z191" s="2" t="inlineStr">
        <is>
          <t>UNESCO</t>
        </is>
      </c>
      <c r="AA191" s="8" t="inlineStr">
        <is>
          <t>https://whc.unesco.org/</t>
        </is>
      </c>
      <c r="AB191" s="2" t="inlineStr">
        <is>
          <t>UNESCO</t>
        </is>
      </c>
      <c r="AC191" s="8" t="inlineStr">
        <is>
          <t>https://whc.unesco.org/</t>
        </is>
      </c>
      <c r="AD191" s="2" t="inlineStr">
        <is>
          <t>La Mojarra Stela</t>
        </is>
      </c>
      <c r="AE191" s="2" t="inlineStr">
        <is>
          <t>Script decipherment proposals remain debated.</t>
        </is>
      </c>
      <c r="AF191" s="2" t="inlineStr">
        <is>
          <t>Writing; calendar; rulership</t>
        </is>
      </c>
      <c r="AG191" s="2" t="inlineStr">
        <is>
          <t>High</t>
        </is>
      </c>
      <c r="AH191" s="2" t="inlineStr">
        <is>
          <t>Medium</t>
        </is>
      </c>
      <c r="AI191" s="2" t="inlineStr"/>
      <c r="AJ191" t="inlineStr">
        <is>
          <t>https://www.famsi.org/</t>
        </is>
      </c>
      <c r="AK191" t="inlineStr">
        <is>
          <t>https://www.famsi.org/</t>
        </is>
      </c>
      <c r="AL191" t="inlineStr">
        <is>
          <t>https://www.si.edu/collection/search?edan_q=La+Mojarra+Stela</t>
        </is>
      </c>
      <c r="AM191" t="inlineStr">
        <is>
          <t>https://whc.unesco.org/en/search/?searchterm=La+Mojarra+Stela</t>
        </is>
      </c>
      <c r="AN191" t="inlineStr">
        <is>
          <t>https://whc.unesco.org/en/search/?searchterm=La+Mojarra+Stela</t>
        </is>
      </c>
      <c r="AO191" t="inlineStr">
        <is>
          <t>1) Fact base: FAMSI. 2) Translation/text: FAMSI. 3) Images/objects: Smithsonian Open Access. 4) Context/explanation: UNESCO. 5) Geography/maps: UNESCO. Use Suggested_Search_Term inside each portal.</t>
        </is>
      </c>
      <c r="AP191" t="inlineStr">
        <is>
          <t>Mixed: direct portal homepages plus search-result URLs where the portal exposes a public search endpoint.</t>
        </is>
      </c>
    </row>
    <row r="192">
      <c r="A192" s="2" t="n">
        <v>191</v>
      </c>
      <c r="B192" s="9" t="inlineStr">
        <is>
          <t>Later_witness_or_post_1AD_relevance</t>
        </is>
      </c>
      <c r="C192" s="2" t="inlineStr">
        <is>
          <t>Mesoamerica</t>
        </is>
      </c>
      <c r="D192" s="2" t="inlineStr">
        <is>
          <t>Mesoamerican traditions</t>
        </is>
      </c>
      <c r="E192" s="2" t="n">
        <v>-300</v>
      </c>
      <c r="F192" s="2" t="n">
        <v>100</v>
      </c>
      <c r="G192" s="2" t="inlineStr">
        <is>
          <t>c. 300 BCE to 100 CE</t>
        </is>
      </c>
      <c r="H192" s="2" t="inlineStr">
        <is>
          <t>Izapa</t>
        </is>
      </c>
      <c r="I192" s="2" t="inlineStr">
        <is>
          <t>Site</t>
        </is>
      </c>
      <c r="J192" s="2" t="inlineStr">
        <is>
          <t>Archaeology</t>
        </is>
      </c>
      <c r="K192" s="2" t="inlineStr">
        <is>
          <t>Monuments</t>
        </is>
      </c>
      <c r="L192" s="2" t="inlineStr">
        <is>
          <t>Mythic iconography</t>
        </is>
      </c>
      <c r="M192" s="2" t="inlineStr">
        <is>
          <t>Mexico</t>
        </is>
      </c>
      <c r="N192" s="2" t="inlineStr">
        <is>
          <t>Chiapas / Pacific coast</t>
        </is>
      </c>
      <c r="O192" s="2" t="inlineStr">
        <is>
          <t>Site with carved stelae often interpreted in relation to mythic scenes.</t>
        </is>
      </c>
      <c r="P192" s="2" t="inlineStr">
        <is>
          <t>Frequently appears in cross-cultural flood and tree-of-life comparisons.</t>
        </is>
      </c>
      <c r="Q192" s="2" t="inlineStr">
        <is>
          <t>High</t>
        </is>
      </c>
      <c r="R192" s="2" t="inlineStr">
        <is>
          <t>Not applicable</t>
        </is>
      </c>
      <c r="S192" s="2" t="inlineStr">
        <is>
          <t>High</t>
        </is>
      </c>
      <c r="T192" s="2" t="inlineStr">
        <is>
          <t>UNESCO</t>
        </is>
      </c>
      <c r="U192" s="8" t="inlineStr">
        <is>
          <t>https://whc.unesco.org/</t>
        </is>
      </c>
      <c r="V192" s="2" t="inlineStr">
        <is>
          <t>INAH</t>
        </is>
      </c>
      <c r="W192" s="8" t="inlineStr">
        <is>
          <t>https://www.inah.gob.mx/</t>
        </is>
      </c>
      <c r="X192" s="2" t="inlineStr">
        <is>
          <t>Smithsonian Open Access</t>
        </is>
      </c>
      <c r="Y192" s="8" t="inlineStr">
        <is>
          <t>https://www.si.edu/openaccess</t>
        </is>
      </c>
      <c r="Z192" s="2" t="inlineStr">
        <is>
          <t>UNESCO</t>
        </is>
      </c>
      <c r="AA192" s="8" t="inlineStr">
        <is>
          <t>https://whc.unesco.org/</t>
        </is>
      </c>
      <c r="AB192" s="2" t="inlineStr">
        <is>
          <t>UNESCO</t>
        </is>
      </c>
      <c r="AC192" s="8" t="inlineStr">
        <is>
          <t>https://whc.unesco.org/</t>
        </is>
      </c>
      <c r="AD192" s="2" t="inlineStr">
        <is>
          <t>Izapa stelae</t>
        </is>
      </c>
      <c r="AE192" s="2" t="inlineStr">
        <is>
          <t>Interpretive caution required; iconography is complex.</t>
        </is>
      </c>
      <c r="AF192" s="2" t="inlineStr">
        <is>
          <t>World tree; flood scenes claims</t>
        </is>
      </c>
      <c r="AG192" s="2" t="inlineStr">
        <is>
          <t>High</t>
        </is>
      </c>
      <c r="AH192" s="2" t="inlineStr">
        <is>
          <t>High</t>
        </is>
      </c>
      <c r="AI192" s="2" t="inlineStr"/>
      <c r="AJ192" t="inlineStr">
        <is>
          <t>https://whc.unesco.org/en/search/?searchterm=Izapa+stelae</t>
        </is>
      </c>
      <c r="AK192" t="inlineStr">
        <is>
          <t>https://www.inah.gob.mx/</t>
        </is>
      </c>
      <c r="AL192" t="inlineStr">
        <is>
          <t>https://www.si.edu/collection/search?edan_q=Izapa+stelae</t>
        </is>
      </c>
      <c r="AM192" t="inlineStr">
        <is>
          <t>https://whc.unesco.org/en/search/?searchterm=Izapa+stelae</t>
        </is>
      </c>
      <c r="AN192" t="inlineStr">
        <is>
          <t>https://whc.unesco.org/en/search/?searchterm=Izapa+stelae</t>
        </is>
      </c>
      <c r="AO192" t="inlineStr">
        <is>
          <t>1) Fact base: UNESCO. 2) Translation/text: INAH. 3) Images/objects: Smithsonian Open Access. 4) Context/explanation: UNESCO. 5) Geography/maps: UNESCO. Use Suggested_Search_Term inside each portal.</t>
        </is>
      </c>
      <c r="AP192" t="inlineStr">
        <is>
          <t>Mixed: direct portal homepages plus search-result URLs where the portal exposes a public search endpoint.</t>
        </is>
      </c>
    </row>
    <row r="193">
      <c r="A193" s="2" t="n">
        <v>192</v>
      </c>
      <c r="B193" s="9" t="inlineStr">
        <is>
          <t>Later_witness_or_post_1AD_relevance</t>
        </is>
      </c>
      <c r="C193" s="2" t="inlineStr">
        <is>
          <t>Mesoamerica</t>
        </is>
      </c>
      <c r="D193" s="2" t="inlineStr">
        <is>
          <t>Mesoamerican traditions</t>
        </is>
      </c>
      <c r="E193" s="2" t="n">
        <v>-300</v>
      </c>
      <c r="F193" s="2" t="n">
        <v>100</v>
      </c>
      <c r="G193" s="2" t="inlineStr">
        <is>
          <t>c. 300 BCE to 100 CE</t>
        </is>
      </c>
      <c r="H193" s="2" t="inlineStr">
        <is>
          <t>Kaminaljuyu</t>
        </is>
      </c>
      <c r="I193" s="2" t="inlineStr">
        <is>
          <t>Site</t>
        </is>
      </c>
      <c r="J193" s="2" t="inlineStr">
        <is>
          <t>Archaeology</t>
        </is>
      </c>
      <c r="K193" s="2" t="inlineStr">
        <is>
          <t>Urbanism</t>
        </is>
      </c>
      <c r="L193" s="2" t="inlineStr">
        <is>
          <t>Early Maya</t>
        </is>
      </c>
      <c r="M193" s="2" t="inlineStr">
        <is>
          <t>Guatemala</t>
        </is>
      </c>
      <c r="N193" s="2" t="inlineStr">
        <is>
          <t>Highland Maya region</t>
        </is>
      </c>
      <c r="O193" s="2" t="inlineStr">
        <is>
          <t>Preclassic center with monuments and broad interaction networks.</t>
        </is>
      </c>
      <c r="P193" s="2" t="inlineStr">
        <is>
          <t>Good for Maya complexity before the Classic period.</t>
        </is>
      </c>
      <c r="Q193" s="2" t="inlineStr">
        <is>
          <t>Medium</t>
        </is>
      </c>
      <c r="R193" s="2" t="inlineStr">
        <is>
          <t>Not applicable</t>
        </is>
      </c>
      <c r="S193" s="2" t="inlineStr">
        <is>
          <t>Medium</t>
        </is>
      </c>
      <c r="T193" s="2" t="inlineStr">
        <is>
          <t>UNESCO</t>
        </is>
      </c>
      <c r="U193" s="8" t="inlineStr">
        <is>
          <t>https://whc.unesco.org/</t>
        </is>
      </c>
      <c r="V193" s="2" t="inlineStr">
        <is>
          <t>INAH</t>
        </is>
      </c>
      <c r="W193" s="8" t="inlineStr">
        <is>
          <t>https://www.inah.gob.mx/</t>
        </is>
      </c>
      <c r="X193" s="2" t="inlineStr">
        <is>
          <t>Smithsonian Open Access</t>
        </is>
      </c>
      <c r="Y193" s="8" t="inlineStr">
        <is>
          <t>https://www.si.edu/openaccess</t>
        </is>
      </c>
      <c r="Z193" s="2" t="inlineStr">
        <is>
          <t>UNESCO</t>
        </is>
      </c>
      <c r="AA193" s="8" t="inlineStr">
        <is>
          <t>https://whc.unesco.org/</t>
        </is>
      </c>
      <c r="AB193" s="2" t="inlineStr">
        <is>
          <t>UNESCO</t>
        </is>
      </c>
      <c r="AC193" s="8" t="inlineStr">
        <is>
          <t>https://whc.unesco.org/</t>
        </is>
      </c>
      <c r="AD193" s="2" t="inlineStr">
        <is>
          <t>Kaminaljuyu archaeology</t>
        </is>
      </c>
      <c r="AE193" s="2" t="inlineStr">
        <is>
          <t>Much site disturbed by modern city growth.</t>
        </is>
      </c>
      <c r="AF193" s="2" t="inlineStr">
        <is>
          <t>Urbanism; exchange</t>
        </is>
      </c>
      <c r="AG193" s="2" t="inlineStr">
        <is>
          <t>Medium</t>
        </is>
      </c>
      <c r="AH193" s="2" t="inlineStr">
        <is>
          <t>Medium</t>
        </is>
      </c>
      <c r="AI193" s="2" t="inlineStr"/>
      <c r="AJ193" t="inlineStr">
        <is>
          <t>https://whc.unesco.org/en/search/?searchterm=Kaminaljuyu+archaeology</t>
        </is>
      </c>
      <c r="AK193" t="inlineStr">
        <is>
          <t>https://www.inah.gob.mx/</t>
        </is>
      </c>
      <c r="AL193" t="inlineStr">
        <is>
          <t>https://www.si.edu/collection/search?edan_q=Kaminaljuyu+archaeology</t>
        </is>
      </c>
      <c r="AM193" t="inlineStr">
        <is>
          <t>https://whc.unesco.org/en/search/?searchterm=Kaminaljuyu+archaeology</t>
        </is>
      </c>
      <c r="AN193" t="inlineStr">
        <is>
          <t>https://whc.unesco.org/en/search/?searchterm=Kaminaljuyu+archaeology</t>
        </is>
      </c>
      <c r="AO193" t="inlineStr">
        <is>
          <t>1) Fact base: UNESCO. 2) Translation/text: INAH. 3) Images/objects: Smithsonian Open Access. 4) Context/explanation: UNESCO. 5) Geography/maps: UNESCO. Use Suggested_Search_Term inside each portal.</t>
        </is>
      </c>
      <c r="AP193" t="inlineStr">
        <is>
          <t>Mixed: direct portal homepages plus search-result URLs where the portal exposes a public search endpoint.</t>
        </is>
      </c>
    </row>
    <row r="194">
      <c r="A194" s="2" t="n">
        <v>193</v>
      </c>
      <c r="B194" s="9" t="inlineStr">
        <is>
          <t>Later_witness_or_post_1AD_relevance</t>
        </is>
      </c>
      <c r="C194" s="2" t="inlineStr">
        <is>
          <t>Mesoamerica</t>
        </is>
      </c>
      <c r="D194" s="2" t="inlineStr">
        <is>
          <t>Mesoamerican traditions</t>
        </is>
      </c>
      <c r="E194" s="2" t="n">
        <v>-600</v>
      </c>
      <c r="F194" s="2" t="n">
        <v>150</v>
      </c>
      <c r="G194" s="2" t="inlineStr">
        <is>
          <t>c. 600 BCE to 150 CE</t>
        </is>
      </c>
      <c r="H194" s="2" t="inlineStr">
        <is>
          <t>El Mirador</t>
        </is>
      </c>
      <c r="I194" s="2" t="inlineStr">
        <is>
          <t>Site</t>
        </is>
      </c>
      <c r="J194" s="2" t="inlineStr">
        <is>
          <t>Archaeology</t>
        </is>
      </c>
      <c r="K194" s="2" t="inlineStr">
        <is>
          <t>Preclassic Maya</t>
        </is>
      </c>
      <c r="L194" s="2" t="inlineStr">
        <is>
          <t>Monumentality</t>
        </is>
      </c>
      <c r="M194" s="2" t="inlineStr">
        <is>
          <t>Guatemala</t>
        </is>
      </c>
      <c r="N194" s="2" t="inlineStr">
        <is>
          <t>Maya lowlands</t>
        </is>
      </c>
      <c r="O194" s="2" t="inlineStr">
        <is>
          <t>Massive Preclassic Maya city with large architecture and causeways.</t>
        </is>
      </c>
      <c r="P194" s="2" t="inlineStr">
        <is>
          <t>A major challenge to old models of late Maya complexity.</t>
        </is>
      </c>
      <c r="Q194" s="2" t="inlineStr">
        <is>
          <t>High</t>
        </is>
      </c>
      <c r="R194" s="2" t="inlineStr">
        <is>
          <t>Not applicable</t>
        </is>
      </c>
      <c r="S194" s="2" t="inlineStr">
        <is>
          <t>High</t>
        </is>
      </c>
      <c r="T194" s="2" t="inlineStr">
        <is>
          <t>UNESCO</t>
        </is>
      </c>
      <c r="U194" s="8" t="inlineStr">
        <is>
          <t>https://whc.unesco.org/</t>
        </is>
      </c>
      <c r="V194" s="2" t="inlineStr">
        <is>
          <t>INAH</t>
        </is>
      </c>
      <c r="W194" s="8" t="inlineStr">
        <is>
          <t>https://www.inah.gob.mx/</t>
        </is>
      </c>
      <c r="X194" s="2" t="inlineStr">
        <is>
          <t>Smithsonian Open Access</t>
        </is>
      </c>
      <c r="Y194" s="8" t="inlineStr">
        <is>
          <t>https://www.si.edu/openaccess</t>
        </is>
      </c>
      <c r="Z194" s="2" t="inlineStr">
        <is>
          <t>UNESCO</t>
        </is>
      </c>
      <c r="AA194" s="8" t="inlineStr">
        <is>
          <t>https://whc.unesco.org/</t>
        </is>
      </c>
      <c r="AB194" s="2" t="inlineStr">
        <is>
          <t>UNESCO</t>
        </is>
      </c>
      <c r="AC194" s="8" t="inlineStr">
        <is>
          <t>https://whc.unesco.org/</t>
        </is>
      </c>
      <c r="AD194" s="2" t="inlineStr">
        <is>
          <t>El Mirador archaeology</t>
        </is>
      </c>
      <c r="AE194" s="2" t="inlineStr">
        <is>
          <t>Lidar and field reports are especially useful.</t>
        </is>
      </c>
      <c r="AF194" s="2" t="inlineStr">
        <is>
          <t>Monumentality; causeways; lowland cities</t>
        </is>
      </c>
      <c r="AG194" s="2" t="inlineStr">
        <is>
          <t>Critical</t>
        </is>
      </c>
      <c r="AH194" s="2" t="inlineStr">
        <is>
          <t>High</t>
        </is>
      </c>
      <c r="AI194" s="2" t="inlineStr"/>
      <c r="AJ194" t="inlineStr">
        <is>
          <t>https://whc.unesco.org/en/search/?searchterm=El+Mirador+archaeology</t>
        </is>
      </c>
      <c r="AK194" t="inlineStr">
        <is>
          <t>https://www.inah.gob.mx/</t>
        </is>
      </c>
      <c r="AL194" t="inlineStr">
        <is>
          <t>https://www.si.edu/collection/search?edan_q=El+Mirador+archaeology</t>
        </is>
      </c>
      <c r="AM194" t="inlineStr">
        <is>
          <t>https://whc.unesco.org/en/search/?searchterm=El+Mirador+archaeology</t>
        </is>
      </c>
      <c r="AN194" t="inlineStr">
        <is>
          <t>https://whc.unesco.org/en/search/?searchterm=El+Mirador+archaeology</t>
        </is>
      </c>
      <c r="AO194" t="inlineStr">
        <is>
          <t>1) Fact base: UNESCO. 2) Translation/text: INAH. 3) Images/objects: Smithsonian Open Access. 4) Context/explanation: UNESCO. 5) Geography/maps: UNESCO. Use Suggested_Search_Term inside each portal.</t>
        </is>
      </c>
      <c r="AP194" t="inlineStr">
        <is>
          <t>Mixed: direct portal homepages plus search-result URLs where the portal exposes a public search endpoint.</t>
        </is>
      </c>
    </row>
    <row r="195">
      <c r="A195" s="2" t="n">
        <v>194</v>
      </c>
      <c r="B195" s="9" t="inlineStr">
        <is>
          <t>Later_witness_or_post_1AD_relevance</t>
        </is>
      </c>
      <c r="C195" s="2" t="inlineStr">
        <is>
          <t>Mesoamerica</t>
        </is>
      </c>
      <c r="D195" s="2" t="inlineStr">
        <is>
          <t>Mesoamerican traditions</t>
        </is>
      </c>
      <c r="E195" s="2" t="n">
        <v>-200</v>
      </c>
      <c r="F195" s="2" t="n">
        <v>250</v>
      </c>
      <c r="G195" s="2" t="inlineStr">
        <is>
          <t>c. 200 BCE to 250 CE</t>
        </is>
      </c>
      <c r="H195" s="2" t="inlineStr">
        <is>
          <t>San Bartolo murals</t>
        </is>
      </c>
      <c r="I195" s="2" t="inlineStr">
        <is>
          <t>Artifact / site corpus</t>
        </is>
      </c>
      <c r="J195" s="2" t="inlineStr">
        <is>
          <t>Murals</t>
        </is>
      </c>
      <c r="K195" s="2" t="inlineStr">
        <is>
          <t>Creation iconography</t>
        </is>
      </c>
      <c r="L195" s="2" t="inlineStr">
        <is>
          <t>Maya religion</t>
        </is>
      </c>
      <c r="M195" s="2" t="inlineStr">
        <is>
          <t>Guatemala</t>
        </is>
      </c>
      <c r="N195" s="2" t="inlineStr">
        <is>
          <t>Maya lowlands</t>
        </is>
      </c>
      <c r="O195" s="2" t="inlineStr">
        <is>
          <t>Preclassic murals with major mythic imagery.</t>
        </is>
      </c>
      <c r="P195" s="2" t="inlineStr">
        <is>
          <t>One of the strongest early Maya visual sources for creation narratives.</t>
        </is>
      </c>
      <c r="Q195" s="2" t="inlineStr">
        <is>
          <t>High</t>
        </is>
      </c>
      <c r="R195" s="2" t="inlineStr">
        <is>
          <t>Not applicable</t>
        </is>
      </c>
      <c r="S195" s="2" t="inlineStr">
        <is>
          <t>High</t>
        </is>
      </c>
      <c r="T195" s="2" t="inlineStr">
        <is>
          <t>UNESCO</t>
        </is>
      </c>
      <c r="U195" s="8" t="inlineStr">
        <is>
          <t>https://whc.unesco.org/</t>
        </is>
      </c>
      <c r="V195" s="2" t="inlineStr">
        <is>
          <t>INAH</t>
        </is>
      </c>
      <c r="W195" s="8" t="inlineStr">
        <is>
          <t>https://www.inah.gob.mx/</t>
        </is>
      </c>
      <c r="X195" s="2" t="inlineStr">
        <is>
          <t>Smithsonian Open Access</t>
        </is>
      </c>
      <c r="Y195" s="8" t="inlineStr">
        <is>
          <t>https://www.si.edu/openaccess</t>
        </is>
      </c>
      <c r="Z195" s="2" t="inlineStr">
        <is>
          <t>UNESCO</t>
        </is>
      </c>
      <c r="AA195" s="8" t="inlineStr">
        <is>
          <t>https://whc.unesco.org/</t>
        </is>
      </c>
      <c r="AB195" s="2" t="inlineStr">
        <is>
          <t>UNESCO</t>
        </is>
      </c>
      <c r="AC195" s="8" t="inlineStr">
        <is>
          <t>https://whc.unesco.org/</t>
        </is>
      </c>
      <c r="AD195" s="2" t="inlineStr">
        <is>
          <t>San Bartolo murals</t>
        </is>
      </c>
      <c r="AE195" s="2" t="inlineStr">
        <is>
          <t>Excellent for linking image to myth.</t>
        </is>
      </c>
      <c r="AF195" s="2" t="inlineStr">
        <is>
          <t>Creation; maize god; world tree</t>
        </is>
      </c>
      <c r="AG195" s="2" t="inlineStr">
        <is>
          <t>Critical</t>
        </is>
      </c>
      <c r="AH195" s="2" t="inlineStr">
        <is>
          <t>High</t>
        </is>
      </c>
      <c r="AI195" s="2" t="inlineStr"/>
      <c r="AJ195" t="inlineStr">
        <is>
          <t>https://whc.unesco.org/en/search/?searchterm=San+Bartolo+murals</t>
        </is>
      </c>
      <c r="AK195" t="inlineStr">
        <is>
          <t>https://www.inah.gob.mx/</t>
        </is>
      </c>
      <c r="AL195" t="inlineStr">
        <is>
          <t>https://www.si.edu/collection/search?edan_q=San+Bartolo+murals</t>
        </is>
      </c>
      <c r="AM195" t="inlineStr">
        <is>
          <t>https://whc.unesco.org/en/search/?searchterm=San+Bartolo+murals</t>
        </is>
      </c>
      <c r="AN195" t="inlineStr">
        <is>
          <t>https://whc.unesco.org/en/search/?searchterm=San+Bartolo+murals</t>
        </is>
      </c>
      <c r="AO195" t="inlineStr">
        <is>
          <t>1) Fact base: UNESCO. 2) Translation/text: INAH. 3) Images/objects: Smithsonian Open Access. 4) Context/explanation: UNESCO. 5) Geography/maps: UNESCO. Use Suggested_Search_Term inside each portal.</t>
        </is>
      </c>
      <c r="AP195" t="inlineStr">
        <is>
          <t>Mixed: direct portal homepages plus search-result URLs where the portal exposes a public search endpoint.</t>
        </is>
      </c>
    </row>
    <row r="196">
      <c r="A196" s="2" t="n">
        <v>195</v>
      </c>
      <c r="B196" s="9" t="inlineStr">
        <is>
          <t>Later_witness_or_post_1AD_relevance</t>
        </is>
      </c>
      <c r="C196" s="2" t="inlineStr">
        <is>
          <t>Mesoamerica</t>
        </is>
      </c>
      <c r="D196" s="2" t="inlineStr">
        <is>
          <t>Mesoamerican traditions</t>
        </is>
      </c>
      <c r="E196" s="2" t="n">
        <v>-100</v>
      </c>
      <c r="F196" s="2" t="n">
        <v>550</v>
      </c>
      <c r="G196" s="2" t="inlineStr">
        <is>
          <t>c. 100 BCE to 550 CE</t>
        </is>
      </c>
      <c r="H196" s="2" t="inlineStr">
        <is>
          <t>Teotihuacan (early phases)</t>
        </is>
      </c>
      <c r="I196" s="2" t="inlineStr">
        <is>
          <t>Site</t>
        </is>
      </c>
      <c r="J196" s="2" t="inlineStr">
        <is>
          <t>Archaeology</t>
        </is>
      </c>
      <c r="K196" s="2" t="inlineStr">
        <is>
          <t>Urbanism</t>
        </is>
      </c>
      <c r="L196" s="2" t="inlineStr">
        <is>
          <t>Cosmic planning</t>
        </is>
      </c>
      <c r="M196" s="2" t="inlineStr">
        <is>
          <t>Mexico</t>
        </is>
      </c>
      <c r="N196" s="2" t="inlineStr">
        <is>
          <t>Basin of Mexico</t>
        </is>
      </c>
      <c r="O196" s="2" t="inlineStr">
        <is>
          <t>Early growth of the great city known for cosmic layout and monumental pyramids.</t>
        </is>
      </c>
      <c r="P196" s="2" t="inlineStr">
        <is>
          <t>Key site for city-as-cosmos interpretations.</t>
        </is>
      </c>
      <c r="Q196" s="2" t="inlineStr">
        <is>
          <t>High</t>
        </is>
      </c>
      <c r="R196" s="2" t="inlineStr">
        <is>
          <t>Not applicable</t>
        </is>
      </c>
      <c r="S196" s="2" t="inlineStr">
        <is>
          <t>High</t>
        </is>
      </c>
      <c r="T196" s="2" t="inlineStr">
        <is>
          <t>UNESCO</t>
        </is>
      </c>
      <c r="U196" s="8" t="inlineStr">
        <is>
          <t>https://whc.unesco.org/</t>
        </is>
      </c>
      <c r="V196" s="2" t="inlineStr">
        <is>
          <t>INAH</t>
        </is>
      </c>
      <c r="W196" s="8" t="inlineStr">
        <is>
          <t>https://www.inah.gob.mx/</t>
        </is>
      </c>
      <c r="X196" s="2" t="inlineStr">
        <is>
          <t>Smithsonian Open Access</t>
        </is>
      </c>
      <c r="Y196" s="8" t="inlineStr">
        <is>
          <t>https://www.si.edu/openaccess</t>
        </is>
      </c>
      <c r="Z196" s="2" t="inlineStr">
        <is>
          <t>UNESCO</t>
        </is>
      </c>
      <c r="AA196" s="8" t="inlineStr">
        <is>
          <t>https://whc.unesco.org/</t>
        </is>
      </c>
      <c r="AB196" s="2" t="inlineStr">
        <is>
          <t>UNESCO</t>
        </is>
      </c>
      <c r="AC196" s="8" t="inlineStr">
        <is>
          <t>https://whc.unesco.org/</t>
        </is>
      </c>
      <c r="AD196" s="2" t="inlineStr">
        <is>
          <t>Teotihuacan UNESCO</t>
        </is>
      </c>
      <c r="AE196" s="2" t="inlineStr">
        <is>
          <t>Best if you keep early phases separate from later florescence.</t>
        </is>
      </c>
      <c r="AF196" s="2" t="inlineStr">
        <is>
          <t>Cosmic city; pyramids; avenues</t>
        </is>
      </c>
      <c r="AG196" s="2" t="inlineStr">
        <is>
          <t>Critical</t>
        </is>
      </c>
      <c r="AH196" s="2" t="inlineStr">
        <is>
          <t>High</t>
        </is>
      </c>
      <c r="AI196" s="2" t="inlineStr"/>
      <c r="AJ196" t="inlineStr">
        <is>
          <t>https://whc.unesco.org/en/search/?searchterm=Teotihuacan+UNESCO</t>
        </is>
      </c>
      <c r="AK196" t="inlineStr">
        <is>
          <t>https://www.inah.gob.mx/</t>
        </is>
      </c>
      <c r="AL196" t="inlineStr">
        <is>
          <t>https://www.si.edu/collection/search?edan_q=Teotihuacan+UNESCO</t>
        </is>
      </c>
      <c r="AM196" t="inlineStr">
        <is>
          <t>https://whc.unesco.org/en/search/?searchterm=Teotihuacan+UNESCO</t>
        </is>
      </c>
      <c r="AN196" t="inlineStr">
        <is>
          <t>https://whc.unesco.org/en/search/?searchterm=Teotihuacan+UNESCO</t>
        </is>
      </c>
      <c r="AO196" t="inlineStr">
        <is>
          <t>1) Fact base: UNESCO. 2) Translation/text: INAH. 3) Images/objects: Smithsonian Open Access. 4) Context/explanation: UNESCO. 5) Geography/maps: UNESCO. Use Suggested_Search_Term inside each portal.</t>
        </is>
      </c>
      <c r="AP196" t="inlineStr">
        <is>
          <t>Mixed: direct portal homepages plus search-result URLs where the portal exposes a public search endpoint.</t>
        </is>
      </c>
    </row>
    <row r="197">
      <c r="A197" s="2" t="n">
        <v>196</v>
      </c>
      <c r="B197" s="9" t="inlineStr">
        <is>
          <t>Later_witness_or_post_1AD_relevance</t>
        </is>
      </c>
      <c r="C197" s="2" t="inlineStr">
        <is>
          <t>Mesoamerica</t>
        </is>
      </c>
      <c r="D197" s="2" t="inlineStr">
        <is>
          <t>Mesoamerican traditions</t>
        </is>
      </c>
      <c r="E197" s="2" t="n">
        <v>-500</v>
      </c>
      <c r="F197" s="2" t="n">
        <v>100</v>
      </c>
      <c r="G197" s="2" t="inlineStr">
        <is>
          <t>c. 500 BCE to 100 CE</t>
        </is>
      </c>
      <c r="H197" s="2" t="inlineStr">
        <is>
          <t>Monte Alban (early phases)</t>
        </is>
      </c>
      <c r="I197" s="2" t="inlineStr">
        <is>
          <t>Site</t>
        </is>
      </c>
      <c r="J197" s="2" t="inlineStr">
        <is>
          <t>Archaeology</t>
        </is>
      </c>
      <c r="K197" s="2" t="inlineStr">
        <is>
          <t>Zapotec</t>
        </is>
      </c>
      <c r="L197" s="2" t="inlineStr">
        <is>
          <t>Hilltop capitals</t>
        </is>
      </c>
      <c r="M197" s="2" t="inlineStr">
        <is>
          <t>Mexico</t>
        </is>
      </c>
      <c r="N197" s="2" t="inlineStr">
        <is>
          <t>Oaxaca</t>
        </is>
      </c>
      <c r="O197" s="2" t="inlineStr">
        <is>
          <t>Early Zapotec hilltop center with monuments and inscriptions.</t>
        </is>
      </c>
      <c r="P197" s="2" t="inlineStr">
        <is>
          <t>Important for state formation outside the Olmec/Maya orbit.</t>
        </is>
      </c>
      <c r="Q197" s="2" t="inlineStr">
        <is>
          <t>Medium</t>
        </is>
      </c>
      <c r="R197" s="2" t="inlineStr">
        <is>
          <t>Not applicable</t>
        </is>
      </c>
      <c r="S197" s="2" t="inlineStr">
        <is>
          <t>High</t>
        </is>
      </c>
      <c r="T197" s="2" t="inlineStr">
        <is>
          <t>UNESCO</t>
        </is>
      </c>
      <c r="U197" s="8" t="inlineStr">
        <is>
          <t>https://whc.unesco.org/</t>
        </is>
      </c>
      <c r="V197" s="2" t="inlineStr">
        <is>
          <t>INAH</t>
        </is>
      </c>
      <c r="W197" s="8" t="inlineStr">
        <is>
          <t>https://www.inah.gob.mx/</t>
        </is>
      </c>
      <c r="X197" s="2" t="inlineStr">
        <is>
          <t>Smithsonian Open Access</t>
        </is>
      </c>
      <c r="Y197" s="8" t="inlineStr">
        <is>
          <t>https://www.si.edu/openaccess</t>
        </is>
      </c>
      <c r="Z197" s="2" t="inlineStr">
        <is>
          <t>UNESCO</t>
        </is>
      </c>
      <c r="AA197" s="8" t="inlineStr">
        <is>
          <t>https://whc.unesco.org/</t>
        </is>
      </c>
      <c r="AB197" s="2" t="inlineStr">
        <is>
          <t>UNESCO</t>
        </is>
      </c>
      <c r="AC197" s="8" t="inlineStr">
        <is>
          <t>https://whc.unesco.org/</t>
        </is>
      </c>
      <c r="AD197" s="2" t="inlineStr">
        <is>
          <t>Monte Alban archaeology</t>
        </is>
      </c>
      <c r="AE197" s="2" t="inlineStr">
        <is>
          <t>Inscriptions are valuable but not always easy to access in one portal.</t>
        </is>
      </c>
      <c r="AF197" s="2" t="inlineStr">
        <is>
          <t>State origins; hilltop sacred center</t>
        </is>
      </c>
      <c r="AG197" s="2" t="inlineStr">
        <is>
          <t>High</t>
        </is>
      </c>
      <c r="AH197" s="2" t="inlineStr">
        <is>
          <t>Medium</t>
        </is>
      </c>
      <c r="AI197" s="2" t="inlineStr"/>
      <c r="AJ197" t="inlineStr">
        <is>
          <t>https://whc.unesco.org/en/search/?searchterm=Monte+Alban+archaeology</t>
        </is>
      </c>
      <c r="AK197" t="inlineStr">
        <is>
          <t>https://www.inah.gob.mx/</t>
        </is>
      </c>
      <c r="AL197" t="inlineStr">
        <is>
          <t>https://www.si.edu/collection/search?edan_q=Monte+Alban+archaeology</t>
        </is>
      </c>
      <c r="AM197" t="inlineStr">
        <is>
          <t>https://whc.unesco.org/en/search/?searchterm=Monte+Alban+archaeology</t>
        </is>
      </c>
      <c r="AN197" t="inlineStr">
        <is>
          <t>https://whc.unesco.org/en/search/?searchterm=Monte+Alban+archaeology</t>
        </is>
      </c>
      <c r="AO197" t="inlineStr">
        <is>
          <t>1) Fact base: UNESCO. 2) Translation/text: INAH. 3) Images/objects: Smithsonian Open Access. 4) Context/explanation: UNESCO. 5) Geography/maps: UNESCO. Use Suggested_Search_Term inside each portal.</t>
        </is>
      </c>
      <c r="AP197" t="inlineStr">
        <is>
          <t>Mixed: direct portal homepages plus search-result URLs where the portal exposes a public search endpoint.</t>
        </is>
      </c>
    </row>
    <row r="198">
      <c r="A198" s="2" t="n">
        <v>197</v>
      </c>
      <c r="B198" s="9" t="inlineStr">
        <is>
          <t>Later_witness_or_post_1AD_relevance</t>
        </is>
      </c>
      <c r="C198" s="2" t="inlineStr">
        <is>
          <t>Mesoamerica</t>
        </is>
      </c>
      <c r="D198" s="2" t="inlineStr">
        <is>
          <t>Mesoamerican traditions</t>
        </is>
      </c>
      <c r="E198" s="2" t="n">
        <v>-300</v>
      </c>
      <c r="F198" s="2" t="n">
        <v>1500</v>
      </c>
      <c r="G198" s="2" t="inlineStr">
        <is>
          <t>c. 300 BCE to 1500 CE</t>
        </is>
      </c>
      <c r="H198" s="2" t="inlineStr">
        <is>
          <t>Popol Vuh (later witness to older Maya-K'iche' traditions)</t>
        </is>
      </c>
      <c r="I198" s="2" t="inlineStr">
        <is>
          <t>Legend / later witness</t>
        </is>
      </c>
      <c r="J198" s="2" t="inlineStr">
        <is>
          <t>Colonial manuscript preserving older oral tradition</t>
        </is>
      </c>
      <c r="K198" s="2" t="inlineStr">
        <is>
          <t>Creation</t>
        </is>
      </c>
      <c r="L198" s="2" t="inlineStr">
        <is>
          <t>Hero twins</t>
        </is>
      </c>
      <c r="M198" s="2" t="inlineStr">
        <is>
          <t>Guatemala</t>
        </is>
      </c>
      <c r="N198" s="2" t="inlineStr">
        <is>
          <t>K'iche' Maya tradition</t>
        </is>
      </c>
      <c r="O198" s="2" t="inlineStr">
        <is>
          <t>Narrative of creation, failed humans, Hero Twins, and sacred order preserved in later alphabetic manuscript.</t>
        </is>
      </c>
      <c r="P198" s="2" t="inlineStr">
        <is>
          <t>Indispensable myth source, but far later than BCE.</t>
        </is>
      </c>
      <c r="Q198" s="2" t="inlineStr">
        <is>
          <t>High</t>
        </is>
      </c>
      <c r="R198" s="2" t="inlineStr">
        <is>
          <t>High</t>
        </is>
      </c>
      <c r="S198" s="2" t="inlineStr">
        <is>
          <t>Low</t>
        </is>
      </c>
      <c r="T198" s="2" t="inlineStr">
        <is>
          <t>FAMSI</t>
        </is>
      </c>
      <c r="U198" s="8" t="inlineStr">
        <is>
          <t>https://www.famsi.org/</t>
        </is>
      </c>
      <c r="V198" s="2" t="inlineStr">
        <is>
          <t>FAMSI</t>
        </is>
      </c>
      <c r="W198" s="8" t="inlineStr">
        <is>
          <t>https://www.famsi.org/</t>
        </is>
      </c>
      <c r="X198" s="2" t="inlineStr">
        <is>
          <t>Smithsonian Open Access</t>
        </is>
      </c>
      <c r="Y198" s="8" t="inlineStr">
        <is>
          <t>https://www.si.edu/openaccess</t>
        </is>
      </c>
      <c r="Z198" s="2" t="inlineStr">
        <is>
          <t>UNESCO</t>
        </is>
      </c>
      <c r="AA198" s="8" t="inlineStr">
        <is>
          <t>https://whc.unesco.org/</t>
        </is>
      </c>
      <c r="AB198" s="2" t="inlineStr">
        <is>
          <t>UNESCO</t>
        </is>
      </c>
      <c r="AC198" s="8" t="inlineStr">
        <is>
          <t>https://whc.unesco.org/</t>
        </is>
      </c>
      <c r="AD198" s="2" t="inlineStr">
        <is>
          <t>Popol Vuh translation</t>
        </is>
      </c>
      <c r="AE198" s="2" t="inlineStr">
        <is>
          <t>A later witness, not a BCE codex.</t>
        </is>
      </c>
      <c r="AF198" s="2" t="inlineStr">
        <is>
          <t>Creation; underworld; hero twins</t>
        </is>
      </c>
      <c r="AG198" s="2" t="inlineStr">
        <is>
          <t>Critical</t>
        </is>
      </c>
      <c r="AH198" s="2" t="inlineStr">
        <is>
          <t>High</t>
        </is>
      </c>
      <c r="AI198" s="2" t="inlineStr"/>
      <c r="AJ198" t="inlineStr">
        <is>
          <t>https://www.famsi.org/</t>
        </is>
      </c>
      <c r="AK198" t="inlineStr">
        <is>
          <t>https://www.famsi.org/</t>
        </is>
      </c>
      <c r="AL198" t="inlineStr">
        <is>
          <t>https://www.si.edu/collection/search?edan_q=Popol+Vuh+translation</t>
        </is>
      </c>
      <c r="AM198" t="inlineStr">
        <is>
          <t>https://whc.unesco.org/en/search/?searchterm=Popol+Vuh+translation</t>
        </is>
      </c>
      <c r="AN198" t="inlineStr">
        <is>
          <t>https://whc.unesco.org/en/search/?searchterm=Popol+Vuh+translation</t>
        </is>
      </c>
      <c r="AO198" t="inlineStr">
        <is>
          <t>1) Fact base: FAMSI. 2) Translation/text: FAMSI. 3) Images/objects: Smithsonian Open Access. 4) Context/explanation: UNESCO. 5) Geography/maps: UNESCO. Use Suggested_Search_Term inside each portal.</t>
        </is>
      </c>
      <c r="AP198" t="inlineStr">
        <is>
          <t>Mixed: direct portal homepages plus search-result URLs where the portal exposes a public search endpoint.</t>
        </is>
      </c>
    </row>
    <row r="199">
      <c r="A199" s="2" t="n">
        <v>198</v>
      </c>
      <c r="B199" s="9" t="inlineStr">
        <is>
          <t>Later_witness_or_post_1AD_relevance</t>
        </is>
      </c>
      <c r="C199" s="2" t="inlineStr">
        <is>
          <t>Mesoamerica</t>
        </is>
      </c>
      <c r="D199" s="2" t="inlineStr">
        <is>
          <t>Mesoamerican traditions</t>
        </is>
      </c>
      <c r="E199" s="2" t="n">
        <v>-1200</v>
      </c>
      <c r="F199" s="2" t="n">
        <v>1500</v>
      </c>
      <c r="G199" s="2" t="inlineStr">
        <is>
          <t>c. 1200 BCE to 1500 CE</t>
        </is>
      </c>
      <c r="H199" s="2" t="inlineStr">
        <is>
          <t>Dresden/Madrid/Paris Maya codices</t>
        </is>
      </c>
      <c r="I199" s="2" t="inlineStr">
        <is>
          <t>Manuscript corpus</t>
        </is>
      </c>
      <c r="J199" s="2" t="inlineStr">
        <is>
          <t>Postclassic codices preserving older traditions</t>
        </is>
      </c>
      <c r="K199" s="2" t="inlineStr">
        <is>
          <t>Astronomy</t>
        </is>
      </c>
      <c r="L199" s="2" t="inlineStr">
        <is>
          <t>Ritual calendars</t>
        </is>
      </c>
      <c r="M199" s="2" t="inlineStr">
        <is>
          <t>Mexico / Europe holdings</t>
        </is>
      </c>
      <c r="N199" s="2" t="inlineStr">
        <is>
          <t>Maya tradition</t>
        </is>
      </c>
      <c r="O199" s="2" t="inlineStr">
        <is>
          <t>Few surviving Maya books with astronomy, ritual, and almanac content.</t>
        </is>
      </c>
      <c r="P199" s="2" t="inlineStr">
        <is>
          <t>Important but mostly post-1 AD and later than your core BCE frame.</t>
        </is>
      </c>
      <c r="Q199" s="2" t="inlineStr">
        <is>
          <t>High</t>
        </is>
      </c>
      <c r="R199" s="2" t="inlineStr">
        <is>
          <t>Partial</t>
        </is>
      </c>
      <c r="S199" s="2" t="inlineStr">
        <is>
          <t>High</t>
        </is>
      </c>
      <c r="T199" s="2" t="inlineStr">
        <is>
          <t>FAMSI</t>
        </is>
      </c>
      <c r="U199" s="8" t="inlineStr">
        <is>
          <t>https://www.famsi.org/</t>
        </is>
      </c>
      <c r="V199" s="2" t="inlineStr">
        <is>
          <t>FAMSI</t>
        </is>
      </c>
      <c r="W199" s="8" t="inlineStr">
        <is>
          <t>https://www.famsi.org/</t>
        </is>
      </c>
      <c r="X199" s="2" t="inlineStr">
        <is>
          <t>Smithsonian Open Access</t>
        </is>
      </c>
      <c r="Y199" s="8" t="inlineStr">
        <is>
          <t>https://www.si.edu/openaccess</t>
        </is>
      </c>
      <c r="Z199" s="2" t="inlineStr">
        <is>
          <t>UNESCO</t>
        </is>
      </c>
      <c r="AA199" s="8" t="inlineStr">
        <is>
          <t>https://whc.unesco.org/</t>
        </is>
      </c>
      <c r="AB199" s="2" t="inlineStr">
        <is>
          <t>UNESCO</t>
        </is>
      </c>
      <c r="AC199" s="8" t="inlineStr">
        <is>
          <t>https://whc.unesco.org/</t>
        </is>
      </c>
      <c r="AD199" s="2" t="inlineStr">
        <is>
          <t>Maya codices FAMSI</t>
        </is>
      </c>
      <c r="AE199" s="2" t="inlineStr">
        <is>
          <t>Preserve postclassic date and older tradition depth distinctly.</t>
        </is>
      </c>
      <c r="AF199" s="2" t="inlineStr">
        <is>
          <t>Calendrics; Venus; ritual almanacs</t>
        </is>
      </c>
      <c r="AG199" s="2" t="inlineStr">
        <is>
          <t>Critical</t>
        </is>
      </c>
      <c r="AH199" s="2" t="inlineStr">
        <is>
          <t>High</t>
        </is>
      </c>
      <c r="AI199" s="2" t="inlineStr"/>
      <c r="AJ199" t="inlineStr">
        <is>
          <t>https://www.famsi.org/</t>
        </is>
      </c>
      <c r="AK199" t="inlineStr">
        <is>
          <t>https://www.famsi.org/</t>
        </is>
      </c>
      <c r="AL199" t="inlineStr">
        <is>
          <t>https://www.si.edu/collection/search?edan_q=Maya+codices+FAMSI</t>
        </is>
      </c>
      <c r="AM199" t="inlineStr">
        <is>
          <t>https://whc.unesco.org/en/search/?searchterm=Maya+codices+FAMSI</t>
        </is>
      </c>
      <c r="AN199" t="inlineStr">
        <is>
          <t>https://whc.unesco.org/en/search/?searchterm=Maya+codices+FAMSI</t>
        </is>
      </c>
      <c r="AO199" t="inlineStr">
        <is>
          <t>1) Fact base: FAMSI. 2) Translation/text: FAMSI. 3) Images/objects: Smithsonian Open Access. 4) Context/explanation: UNESCO. 5) Geography/maps: UNESCO. Use Suggested_Search_Term inside each portal.</t>
        </is>
      </c>
      <c r="AP199" t="inlineStr">
        <is>
          <t>Mixed: direct portal homepages plus search-result URLs where the portal exposes a public search endpoint.</t>
        </is>
      </c>
    </row>
    <row r="200">
      <c r="A200" s="2" t="n">
        <v>199</v>
      </c>
      <c r="B200" s="9" t="inlineStr">
        <is>
          <t>Later_witness_or_post_1AD_relevance</t>
        </is>
      </c>
      <c r="C200" s="2" t="inlineStr">
        <is>
          <t>Mesoamerica</t>
        </is>
      </c>
      <c r="D200" s="2" t="inlineStr">
        <is>
          <t>Mesoamerican traditions</t>
        </is>
      </c>
      <c r="E200" s="2" t="n">
        <v>-500</v>
      </c>
      <c r="F200" s="2" t="n">
        <v>1600</v>
      </c>
      <c r="G200" s="2" t="inlineStr">
        <is>
          <t>c. 500 BCE to 1600 CE</t>
        </is>
      </c>
      <c r="H200" s="2" t="inlineStr">
        <is>
          <t>Quetzalcoatl / Kukulkan traditions</t>
        </is>
      </c>
      <c r="I200" s="2" t="inlineStr">
        <is>
          <t>Legend / later witness</t>
        </is>
      </c>
      <c r="J200" s="2" t="inlineStr">
        <is>
          <t>Later textual witnesses to older Mesoamerican traditions</t>
        </is>
      </c>
      <c r="K200" s="2" t="inlineStr">
        <is>
          <t>Culture hero</t>
        </is>
      </c>
      <c r="L200" s="2" t="inlineStr">
        <is>
          <t>Creation and order</t>
        </is>
      </c>
      <c r="M200" s="2" t="inlineStr">
        <is>
          <t>Mexico and Yucatan</t>
        </is>
      </c>
      <c r="N200" s="2" t="inlineStr">
        <is>
          <t>Central Mexican and Maya traditions</t>
        </is>
      </c>
      <c r="O200" s="2" t="inlineStr">
        <is>
          <t>Feathered-serpent traditions preserved through codices and later colonial accounts.</t>
        </is>
      </c>
      <c r="P200" s="2" t="inlineStr">
        <is>
          <t>Central to civilizer-god and returning-teacher narratives.</t>
        </is>
      </c>
      <c r="Q200" s="2" t="inlineStr">
        <is>
          <t>High</t>
        </is>
      </c>
      <c r="R200" s="2" t="inlineStr">
        <is>
          <t>Partial</t>
        </is>
      </c>
      <c r="S200" s="2" t="inlineStr">
        <is>
          <t>Low</t>
        </is>
      </c>
      <c r="T200" s="2" t="inlineStr">
        <is>
          <t>FAMSI</t>
        </is>
      </c>
      <c r="U200" s="8" t="inlineStr">
        <is>
          <t>https://www.famsi.org/</t>
        </is>
      </c>
      <c r="V200" s="2" t="inlineStr">
        <is>
          <t>FAMSI</t>
        </is>
      </c>
      <c r="W200" s="8" t="inlineStr">
        <is>
          <t>https://www.famsi.org/</t>
        </is>
      </c>
      <c r="X200" s="2" t="inlineStr">
        <is>
          <t>Smithsonian Open Access</t>
        </is>
      </c>
      <c r="Y200" s="8" t="inlineStr">
        <is>
          <t>https://www.si.edu/openaccess</t>
        </is>
      </c>
      <c r="Z200" s="2" t="inlineStr">
        <is>
          <t>UNESCO</t>
        </is>
      </c>
      <c r="AA200" s="8" t="inlineStr">
        <is>
          <t>https://whc.unesco.org/</t>
        </is>
      </c>
      <c r="AB200" s="2" t="inlineStr">
        <is>
          <t>UNESCO</t>
        </is>
      </c>
      <c r="AC200" s="8" t="inlineStr">
        <is>
          <t>https://whc.unesco.org/</t>
        </is>
      </c>
      <c r="AD200" s="2" t="inlineStr">
        <is>
          <t>Quetzalcoatl codices</t>
        </is>
      </c>
      <c r="AE200" s="2" t="inlineStr">
        <is>
          <t>Most textual witnesses are postconquest or late prehispanic.</t>
        </is>
      </c>
      <c r="AF200" s="2" t="inlineStr">
        <is>
          <t>Culture hero; astronomy; rulership</t>
        </is>
      </c>
      <c r="AG200" s="2" t="inlineStr">
        <is>
          <t>Critical</t>
        </is>
      </c>
      <c r="AH200" s="2" t="inlineStr">
        <is>
          <t>High</t>
        </is>
      </c>
      <c r="AI200" s="2" t="inlineStr"/>
      <c r="AJ200" t="inlineStr">
        <is>
          <t>https://www.famsi.org/</t>
        </is>
      </c>
      <c r="AK200" t="inlineStr">
        <is>
          <t>https://www.famsi.org/</t>
        </is>
      </c>
      <c r="AL200" t="inlineStr">
        <is>
          <t>https://www.si.edu/collection/search?edan_q=Quetzalcoatl+codices</t>
        </is>
      </c>
      <c r="AM200" t="inlineStr">
        <is>
          <t>https://whc.unesco.org/en/search/?searchterm=Quetzalcoatl+codices</t>
        </is>
      </c>
      <c r="AN200" t="inlineStr">
        <is>
          <t>https://whc.unesco.org/en/search/?searchterm=Quetzalcoatl+codices</t>
        </is>
      </c>
      <c r="AO200" t="inlineStr">
        <is>
          <t>1) Fact base: FAMSI. 2) Translation/text: FAMSI. 3) Images/objects: Smithsonian Open Access. 4) Context/explanation: UNESCO. 5) Geography/maps: UNESCO. Use Suggested_Search_Term inside each portal.</t>
        </is>
      </c>
      <c r="AP200" t="inlineStr">
        <is>
          <t>Mixed: direct portal homepages plus search-result URLs where the portal exposes a public search endpoint.</t>
        </is>
      </c>
    </row>
    <row r="201">
      <c r="A201" s="2" t="n">
        <v>200</v>
      </c>
      <c r="B201" s="7" t="inlineStr">
        <is>
          <t>BCE_to_1AD</t>
        </is>
      </c>
      <c r="C201" s="2" t="inlineStr">
        <is>
          <t>Andes / South America</t>
        </is>
      </c>
      <c r="D201" s="2" t="inlineStr">
        <is>
          <t>Andean traditions</t>
        </is>
      </c>
      <c r="E201" s="2" t="n">
        <v>-3000</v>
      </c>
      <c r="F201" s="2" t="n">
        <v>-1800</v>
      </c>
      <c r="G201" s="2" t="inlineStr">
        <is>
          <t>c. 3000 BCE to 1800 BCE</t>
        </is>
      </c>
      <c r="H201" s="2" t="inlineStr">
        <is>
          <t>Caral</t>
        </is>
      </c>
      <c r="I201" s="2" t="inlineStr">
        <is>
          <t>Site</t>
        </is>
      </c>
      <c r="J201" s="2" t="inlineStr">
        <is>
          <t>Archaeology</t>
        </is>
      </c>
      <c r="K201" s="2" t="inlineStr">
        <is>
          <t>Urbanism</t>
        </is>
      </c>
      <c r="L201" s="2" t="inlineStr">
        <is>
          <t>Ceremonial centers</t>
        </is>
      </c>
      <c r="M201" s="2" t="inlineStr">
        <is>
          <t>Peru</t>
        </is>
      </c>
      <c r="N201" s="2" t="inlineStr">
        <is>
          <t>Norte Chico / Supe Valley</t>
        </is>
      </c>
      <c r="O201" s="2" t="inlineStr">
        <is>
          <t>One of the earliest monumental centers in the Americas with platform mounds and planned spaces.</t>
        </is>
      </c>
      <c r="P201" s="2" t="inlineStr">
        <is>
          <t>Essential for deep American antiquity and non-Mesoamerican civilization narratives.</t>
        </is>
      </c>
      <c r="Q201" s="2" t="inlineStr">
        <is>
          <t>High</t>
        </is>
      </c>
      <c r="R201" s="2" t="inlineStr">
        <is>
          <t>Not applicable</t>
        </is>
      </c>
      <c r="S201" s="2" t="inlineStr">
        <is>
          <t>High</t>
        </is>
      </c>
      <c r="T201" s="2" t="inlineStr">
        <is>
          <t>UNESCO</t>
        </is>
      </c>
      <c r="U201" s="8" t="inlineStr">
        <is>
          <t>https://whc.unesco.org/</t>
        </is>
      </c>
      <c r="V201" s="2" t="inlineStr">
        <is>
          <t>Internet Archive</t>
        </is>
      </c>
      <c r="W201" s="8" t="inlineStr">
        <is>
          <t>https://archive.org/</t>
        </is>
      </c>
      <c r="X201" s="2" t="inlineStr">
        <is>
          <t>Smithsonian Open Access</t>
        </is>
      </c>
      <c r="Y201" s="8" t="inlineStr">
        <is>
          <t>https://www.si.edu/openaccess</t>
        </is>
      </c>
      <c r="Z201" s="2" t="inlineStr">
        <is>
          <t>UNESCO</t>
        </is>
      </c>
      <c r="AA201" s="8" t="inlineStr">
        <is>
          <t>https://whc.unesco.org/</t>
        </is>
      </c>
      <c r="AB201" s="2" t="inlineStr">
        <is>
          <t>UNESCO</t>
        </is>
      </c>
      <c r="AC201" s="8" t="inlineStr">
        <is>
          <t>https://whc.unesco.org/</t>
        </is>
      </c>
      <c r="AD201" s="2" t="inlineStr">
        <is>
          <t>Caral UNESCO</t>
        </is>
      </c>
      <c r="AE201" s="2" t="inlineStr">
        <is>
          <t>Good control against diffusion assumptions.</t>
        </is>
      </c>
      <c r="AF201" s="2" t="inlineStr">
        <is>
          <t>Early cities; ritual mounds</t>
        </is>
      </c>
      <c r="AG201" s="2" t="inlineStr">
        <is>
          <t>Critical</t>
        </is>
      </c>
      <c r="AH201" s="2" t="inlineStr">
        <is>
          <t>High</t>
        </is>
      </c>
      <c r="AI201" s="2" t="inlineStr"/>
      <c r="AJ201" t="inlineStr">
        <is>
          <t>https://whc.unesco.org/en/search/?searchterm=Caral+UNESCO</t>
        </is>
      </c>
      <c r="AK201" t="inlineStr">
        <is>
          <t>https://archive.org/search?query=Caral+UNESCO</t>
        </is>
      </c>
      <c r="AL201" t="inlineStr">
        <is>
          <t>https://www.si.edu/collection/search?edan_q=Caral+UNESCO</t>
        </is>
      </c>
      <c r="AM201" t="inlineStr">
        <is>
          <t>https://whc.unesco.org/en/search/?searchterm=Caral+UNESCO</t>
        </is>
      </c>
      <c r="AN201" t="inlineStr">
        <is>
          <t>https://whc.unesco.org/en/search/?searchterm=Caral+UNESCO</t>
        </is>
      </c>
      <c r="AO201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01" t="inlineStr">
        <is>
          <t>Mixed: direct portal homepages plus search-result URLs where the portal exposes a public search endpoint.</t>
        </is>
      </c>
    </row>
    <row r="202">
      <c r="A202" s="2" t="n">
        <v>201</v>
      </c>
      <c r="B202" s="7" t="inlineStr">
        <is>
          <t>BCE_to_1AD</t>
        </is>
      </c>
      <c r="C202" s="2" t="inlineStr">
        <is>
          <t>Andes / South America</t>
        </is>
      </c>
      <c r="D202" s="2" t="inlineStr">
        <is>
          <t>Andean traditions</t>
        </is>
      </c>
      <c r="E202" s="2" t="n">
        <v>-3000</v>
      </c>
      <c r="F202" s="2" t="n">
        <v>-1800</v>
      </c>
      <c r="G202" s="2" t="inlineStr">
        <is>
          <t>c. 3000 BCE to 1800 BCE</t>
        </is>
      </c>
      <c r="H202" s="2" t="inlineStr">
        <is>
          <t>Aspero</t>
        </is>
      </c>
      <c r="I202" s="2" t="inlineStr">
        <is>
          <t>Site</t>
        </is>
      </c>
      <c r="J202" s="2" t="inlineStr">
        <is>
          <t>Archaeology</t>
        </is>
      </c>
      <c r="K202" s="2" t="inlineStr">
        <is>
          <t>Maritime adaptation</t>
        </is>
      </c>
      <c r="L202" s="2" t="inlineStr">
        <is>
          <t>Early monumentality</t>
        </is>
      </c>
      <c r="M202" s="2" t="inlineStr">
        <is>
          <t>Peru</t>
        </is>
      </c>
      <c r="N202" s="2" t="inlineStr">
        <is>
          <t>Norte Chico coast</t>
        </is>
      </c>
      <c r="O202" s="2" t="inlineStr">
        <is>
          <t>Coastal monumental center related to early Andean complexity.</t>
        </is>
      </c>
      <c r="P202" s="2" t="inlineStr">
        <is>
          <t>Useful for inland-coastal system comparison.</t>
        </is>
      </c>
      <c r="Q202" s="2" t="inlineStr">
        <is>
          <t>Medium</t>
        </is>
      </c>
      <c r="R202" s="2" t="inlineStr">
        <is>
          <t>Not applicable</t>
        </is>
      </c>
      <c r="S202" s="2" t="inlineStr">
        <is>
          <t>Medium</t>
        </is>
      </c>
      <c r="T202" s="2" t="inlineStr">
        <is>
          <t>UNESCO</t>
        </is>
      </c>
      <c r="U202" s="8" t="inlineStr">
        <is>
          <t>https://whc.unesco.org/</t>
        </is>
      </c>
      <c r="V202" s="2" t="inlineStr">
        <is>
          <t>Internet Archive</t>
        </is>
      </c>
      <c r="W202" s="8" t="inlineStr">
        <is>
          <t>https://archive.org/</t>
        </is>
      </c>
      <c r="X202" s="2" t="inlineStr">
        <is>
          <t>Smithsonian Open Access</t>
        </is>
      </c>
      <c r="Y202" s="8" t="inlineStr">
        <is>
          <t>https://www.si.edu/openaccess</t>
        </is>
      </c>
      <c r="Z202" s="2" t="inlineStr">
        <is>
          <t>UNESCO</t>
        </is>
      </c>
      <c r="AA202" s="8" t="inlineStr">
        <is>
          <t>https://whc.unesco.org/</t>
        </is>
      </c>
      <c r="AB202" s="2" t="inlineStr">
        <is>
          <t>UNESCO</t>
        </is>
      </c>
      <c r="AC202" s="8" t="inlineStr">
        <is>
          <t>https://whc.unesco.org/</t>
        </is>
      </c>
      <c r="AD202" s="2" t="inlineStr">
        <is>
          <t>Aspero archaeology</t>
        </is>
      </c>
      <c r="AE202" s="2" t="inlineStr">
        <is>
          <t>Often best used with Caral.</t>
        </is>
      </c>
      <c r="AF202" s="2" t="inlineStr">
        <is>
          <t>Early complexity; coast-inland exchange</t>
        </is>
      </c>
      <c r="AG202" s="2" t="inlineStr">
        <is>
          <t>Medium</t>
        </is>
      </c>
      <c r="AH202" s="2" t="inlineStr">
        <is>
          <t>Medium</t>
        </is>
      </c>
      <c r="AI202" s="2" t="inlineStr"/>
      <c r="AJ202" t="inlineStr">
        <is>
          <t>https://whc.unesco.org/en/search/?searchterm=Aspero+archaeology</t>
        </is>
      </c>
      <c r="AK202" t="inlineStr">
        <is>
          <t>https://archive.org/search?query=Aspero+archaeology</t>
        </is>
      </c>
      <c r="AL202" t="inlineStr">
        <is>
          <t>https://www.si.edu/collection/search?edan_q=Aspero+archaeology</t>
        </is>
      </c>
      <c r="AM202" t="inlineStr">
        <is>
          <t>https://whc.unesco.org/en/search/?searchterm=Aspero+archaeology</t>
        </is>
      </c>
      <c r="AN202" t="inlineStr">
        <is>
          <t>https://whc.unesco.org/en/search/?searchterm=Aspero+archaeology</t>
        </is>
      </c>
      <c r="AO202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02" t="inlineStr">
        <is>
          <t>Mixed: direct portal homepages plus search-result URLs where the portal exposes a public search endpoint.</t>
        </is>
      </c>
    </row>
    <row r="203">
      <c r="A203" s="2" t="n">
        <v>202</v>
      </c>
      <c r="B203" s="7" t="inlineStr">
        <is>
          <t>BCE_to_1AD</t>
        </is>
      </c>
      <c r="C203" s="2" t="inlineStr">
        <is>
          <t>Andes / South America</t>
        </is>
      </c>
      <c r="D203" s="2" t="inlineStr">
        <is>
          <t>Andean traditions</t>
        </is>
      </c>
      <c r="E203" s="2" t="n">
        <v>-900</v>
      </c>
      <c r="F203" s="2" t="n">
        <v>-200</v>
      </c>
      <c r="G203" s="2" t="inlineStr">
        <is>
          <t>c. 900 BCE to 200 BCE</t>
        </is>
      </c>
      <c r="H203" s="2" t="inlineStr">
        <is>
          <t>Chavin de Huantar</t>
        </is>
      </c>
      <c r="I203" s="2" t="inlineStr">
        <is>
          <t>Site</t>
        </is>
      </c>
      <c r="J203" s="2" t="inlineStr">
        <is>
          <t>Archaeology</t>
        </is>
      </c>
      <c r="K203" s="2" t="inlineStr">
        <is>
          <t>Ritual center</t>
        </is>
      </c>
      <c r="L203" s="2" t="inlineStr">
        <is>
          <t>Iconography</t>
        </is>
      </c>
      <c r="M203" s="2" t="inlineStr">
        <is>
          <t>Peru</t>
        </is>
      </c>
      <c r="N203" s="2" t="inlineStr">
        <is>
          <t>Highland Andes</t>
        </is>
      </c>
      <c r="O203" s="2" t="inlineStr">
        <is>
          <t>Major ceremonial center with carved stone, galleries, and pilgrimage-like regional connections.</t>
        </is>
      </c>
      <c r="P203" s="2" t="inlineStr">
        <is>
          <t>A cornerstone of Andean religious complexity before the Inca.</t>
        </is>
      </c>
      <c r="Q203" s="2" t="inlineStr">
        <is>
          <t>High</t>
        </is>
      </c>
      <c r="R203" s="2" t="inlineStr">
        <is>
          <t>Not applicable</t>
        </is>
      </c>
      <c r="S203" s="2" t="inlineStr">
        <is>
          <t>High</t>
        </is>
      </c>
      <c r="T203" s="2" t="inlineStr">
        <is>
          <t>UNESCO</t>
        </is>
      </c>
      <c r="U203" s="8" t="inlineStr">
        <is>
          <t>https://whc.unesco.org/</t>
        </is>
      </c>
      <c r="V203" s="2" t="inlineStr">
        <is>
          <t>Internet Archive</t>
        </is>
      </c>
      <c r="W203" s="8" t="inlineStr">
        <is>
          <t>https://archive.org/</t>
        </is>
      </c>
      <c r="X203" s="2" t="inlineStr">
        <is>
          <t>Smithsonian Open Access</t>
        </is>
      </c>
      <c r="Y203" s="8" t="inlineStr">
        <is>
          <t>https://www.si.edu/openaccess</t>
        </is>
      </c>
      <c r="Z203" s="2" t="inlineStr">
        <is>
          <t>UNESCO</t>
        </is>
      </c>
      <c r="AA203" s="8" t="inlineStr">
        <is>
          <t>https://whc.unesco.org/</t>
        </is>
      </c>
      <c r="AB203" s="2" t="inlineStr">
        <is>
          <t>UNESCO</t>
        </is>
      </c>
      <c r="AC203" s="8" t="inlineStr">
        <is>
          <t>https://whc.unesco.org/</t>
        </is>
      </c>
      <c r="AD203" s="2" t="inlineStr">
        <is>
          <t>Chavin UNESCO</t>
        </is>
      </c>
      <c r="AE203" s="2" t="inlineStr">
        <is>
          <t>Acoustics and altered-state claims should be grounded in site evidence.</t>
        </is>
      </c>
      <c r="AF203" s="2" t="inlineStr">
        <is>
          <t>Pilgrimage; feline/serpent imagery</t>
        </is>
      </c>
      <c r="AG203" s="2" t="inlineStr">
        <is>
          <t>Critical</t>
        </is>
      </c>
      <c r="AH203" s="2" t="inlineStr">
        <is>
          <t>High</t>
        </is>
      </c>
      <c r="AI203" s="2" t="inlineStr"/>
      <c r="AJ203" t="inlineStr">
        <is>
          <t>https://whc.unesco.org/en/search/?searchterm=Chavin+UNESCO</t>
        </is>
      </c>
      <c r="AK203" t="inlineStr">
        <is>
          <t>https://archive.org/search?query=Chavin+UNESCO</t>
        </is>
      </c>
      <c r="AL203" t="inlineStr">
        <is>
          <t>https://www.si.edu/collection/search?edan_q=Chavin+UNESCO</t>
        </is>
      </c>
      <c r="AM203" t="inlineStr">
        <is>
          <t>https://whc.unesco.org/en/search/?searchterm=Chavin+UNESCO</t>
        </is>
      </c>
      <c r="AN203" t="inlineStr">
        <is>
          <t>https://whc.unesco.org/en/search/?searchterm=Chavin+UNESCO</t>
        </is>
      </c>
      <c r="AO203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03" t="inlineStr">
        <is>
          <t>Mixed: direct portal homepages plus search-result URLs where the portal exposes a public search endpoint.</t>
        </is>
      </c>
    </row>
    <row r="204">
      <c r="A204" s="2" t="n">
        <v>203</v>
      </c>
      <c r="B204" s="7" t="inlineStr">
        <is>
          <t>BCE_to_1AD</t>
        </is>
      </c>
      <c r="C204" s="2" t="inlineStr">
        <is>
          <t>Andes / South America</t>
        </is>
      </c>
      <c r="D204" s="2" t="inlineStr">
        <is>
          <t>Andean traditions</t>
        </is>
      </c>
      <c r="E204" s="2" t="n">
        <v>-900</v>
      </c>
      <c r="F204" s="2" t="n">
        <v>-200</v>
      </c>
      <c r="G204" s="2" t="inlineStr">
        <is>
          <t>c. 900 BCE to 200 BCE</t>
        </is>
      </c>
      <c r="H204" s="2" t="inlineStr">
        <is>
          <t>Lanzon of Chavin</t>
        </is>
      </c>
      <c r="I204" s="2" t="inlineStr">
        <is>
          <t>Artifact</t>
        </is>
      </c>
      <c r="J204" s="2" t="inlineStr">
        <is>
          <t>Monumental carved stone</t>
        </is>
      </c>
      <c r="K204" s="2" t="inlineStr">
        <is>
          <t>Cosmology</t>
        </is>
      </c>
      <c r="L204" s="2" t="inlineStr">
        <is>
          <t>Ritual interior</t>
        </is>
      </c>
      <c r="M204" s="2" t="inlineStr">
        <is>
          <t>Peru</t>
        </is>
      </c>
      <c r="N204" s="2" t="inlineStr">
        <is>
          <t>Chavin de Huantar</t>
        </is>
      </c>
      <c r="O204" s="2" t="inlineStr">
        <is>
          <t>Central carved monolith installed inside the Chavin temple labyrinth.</t>
        </is>
      </c>
      <c r="P204" s="2" t="inlineStr">
        <is>
          <t>Excellent direct object for Andean sacred-center study.</t>
        </is>
      </c>
      <c r="Q204" s="2" t="inlineStr">
        <is>
          <t>High</t>
        </is>
      </c>
      <c r="R204" s="2" t="inlineStr">
        <is>
          <t>Not applicable</t>
        </is>
      </c>
      <c r="S204" s="2" t="inlineStr">
        <is>
          <t>High</t>
        </is>
      </c>
      <c r="T204" s="2" t="inlineStr">
        <is>
          <t>UNESCO</t>
        </is>
      </c>
      <c r="U204" s="8" t="inlineStr">
        <is>
          <t>https://whc.unesco.org/</t>
        </is>
      </c>
      <c r="V204" s="2" t="inlineStr">
        <is>
          <t>Internet Archive</t>
        </is>
      </c>
      <c r="W204" s="8" t="inlineStr">
        <is>
          <t>https://archive.org/</t>
        </is>
      </c>
      <c r="X204" s="2" t="inlineStr">
        <is>
          <t>Smithsonian Open Access</t>
        </is>
      </c>
      <c r="Y204" s="8" t="inlineStr">
        <is>
          <t>https://www.si.edu/openaccess</t>
        </is>
      </c>
      <c r="Z204" s="2" t="inlineStr">
        <is>
          <t>UNESCO</t>
        </is>
      </c>
      <c r="AA204" s="8" t="inlineStr">
        <is>
          <t>https://whc.unesco.org/</t>
        </is>
      </c>
      <c r="AB204" s="2" t="inlineStr">
        <is>
          <t>UNESCO</t>
        </is>
      </c>
      <c r="AC204" s="8" t="inlineStr">
        <is>
          <t>https://whc.unesco.org/</t>
        </is>
      </c>
      <c r="AD204" s="2" t="inlineStr">
        <is>
          <t>Lanzon Chavin</t>
        </is>
      </c>
      <c r="AE204" s="2" t="inlineStr">
        <is>
          <t>Object and architectural context are inseparable.</t>
        </is>
      </c>
      <c r="AF204" s="2" t="inlineStr">
        <is>
          <t>Axis mundi; deity image</t>
        </is>
      </c>
      <c r="AG204" s="2" t="inlineStr">
        <is>
          <t>High</t>
        </is>
      </c>
      <c r="AH204" s="2" t="inlineStr">
        <is>
          <t>High</t>
        </is>
      </c>
      <c r="AI204" s="2" t="inlineStr"/>
      <c r="AJ204" t="inlineStr">
        <is>
          <t>https://whc.unesco.org/en/search/?searchterm=Lanzon+Chavin</t>
        </is>
      </c>
      <c r="AK204" t="inlineStr">
        <is>
          <t>https://archive.org/search?query=Lanzon+Chavin</t>
        </is>
      </c>
      <c r="AL204" t="inlineStr">
        <is>
          <t>https://www.si.edu/collection/search?edan_q=Lanzon+Chavin</t>
        </is>
      </c>
      <c r="AM204" t="inlineStr">
        <is>
          <t>https://whc.unesco.org/en/search/?searchterm=Lanzon+Chavin</t>
        </is>
      </c>
      <c r="AN204" t="inlineStr">
        <is>
          <t>https://whc.unesco.org/en/search/?searchterm=Lanzon+Chavin</t>
        </is>
      </c>
      <c r="AO204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04" t="inlineStr">
        <is>
          <t>Mixed: direct portal homepages plus search-result URLs where the portal exposes a public search endpoint.</t>
        </is>
      </c>
    </row>
    <row r="205">
      <c r="A205" s="2" t="n">
        <v>204</v>
      </c>
      <c r="B205" s="7" t="inlineStr">
        <is>
          <t>BCE_to_1AD</t>
        </is>
      </c>
      <c r="C205" s="2" t="inlineStr">
        <is>
          <t>Andes / South America</t>
        </is>
      </c>
      <c r="D205" s="2" t="inlineStr">
        <is>
          <t>Andean traditions</t>
        </is>
      </c>
      <c r="E205" s="2" t="n">
        <v>-500</v>
      </c>
      <c r="F205" s="2" t="n">
        <v>-200</v>
      </c>
      <c r="G205" s="2" t="inlineStr">
        <is>
          <t>c. 500 BCE to 200 BCE</t>
        </is>
      </c>
      <c r="H205" s="2" t="inlineStr">
        <is>
          <t>Raimondi Stele</t>
        </is>
      </c>
      <c r="I205" s="2" t="inlineStr">
        <is>
          <t>Artifact</t>
        </is>
      </c>
      <c r="J205" s="2" t="inlineStr">
        <is>
          <t>Carved stone</t>
        </is>
      </c>
      <c r="K205" s="2" t="inlineStr">
        <is>
          <t>Iconography</t>
        </is>
      </c>
      <c r="L205" s="2" t="inlineStr">
        <is>
          <t>Visual complexity</t>
        </is>
      </c>
      <c r="M205" s="2" t="inlineStr">
        <is>
          <t>Peru</t>
        </is>
      </c>
      <c r="N205" s="2" t="inlineStr">
        <is>
          <t>Chavin tradition</t>
        </is>
      </c>
      <c r="O205" s="2" t="inlineStr">
        <is>
          <t>Carved stone featuring Staff God imagery and complex reversible design.</t>
        </is>
      </c>
      <c r="P205" s="2" t="inlineStr">
        <is>
          <t>Frequently used in discussions of encoded symbolic knowledge.</t>
        </is>
      </c>
      <c r="Q205" s="2" t="inlineStr">
        <is>
          <t>High</t>
        </is>
      </c>
      <c r="R205" s="2" t="inlineStr">
        <is>
          <t>Not applicable</t>
        </is>
      </c>
      <c r="S205" s="2" t="inlineStr">
        <is>
          <t>High</t>
        </is>
      </c>
      <c r="T205" s="2" t="inlineStr">
        <is>
          <t>UNESCO</t>
        </is>
      </c>
      <c r="U205" s="8" t="inlineStr">
        <is>
          <t>https://whc.unesco.org/</t>
        </is>
      </c>
      <c r="V205" s="2" t="inlineStr">
        <is>
          <t>Internet Archive</t>
        </is>
      </c>
      <c r="W205" s="8" t="inlineStr">
        <is>
          <t>https://archive.org/</t>
        </is>
      </c>
      <c r="X205" s="2" t="inlineStr">
        <is>
          <t>Smithsonian Open Access</t>
        </is>
      </c>
      <c r="Y205" s="8" t="inlineStr">
        <is>
          <t>https://www.si.edu/openaccess</t>
        </is>
      </c>
      <c r="Z205" s="2" t="inlineStr">
        <is>
          <t>UNESCO</t>
        </is>
      </c>
      <c r="AA205" s="8" t="inlineStr">
        <is>
          <t>https://whc.unesco.org/</t>
        </is>
      </c>
      <c r="AB205" s="2" t="inlineStr">
        <is>
          <t>UNESCO</t>
        </is>
      </c>
      <c r="AC205" s="8" t="inlineStr">
        <is>
          <t>https://whc.unesco.org/</t>
        </is>
      </c>
      <c r="AD205" s="2" t="inlineStr">
        <is>
          <t>Raimondi Stele</t>
        </is>
      </c>
      <c r="AE205" s="2" t="inlineStr">
        <is>
          <t>Image quality matters for analysis.</t>
        </is>
      </c>
      <c r="AF205" s="2" t="inlineStr">
        <is>
          <t>Staff god; visual transformation</t>
        </is>
      </c>
      <c r="AG205" s="2" t="inlineStr">
        <is>
          <t>High</t>
        </is>
      </c>
      <c r="AH205" s="2" t="inlineStr">
        <is>
          <t>High</t>
        </is>
      </c>
      <c r="AI205" s="2" t="inlineStr"/>
      <c r="AJ205" t="inlineStr">
        <is>
          <t>https://whc.unesco.org/en/search/?searchterm=Raimondi+Stele</t>
        </is>
      </c>
      <c r="AK205" t="inlineStr">
        <is>
          <t>https://archive.org/search?query=Raimondi+Stele</t>
        </is>
      </c>
      <c r="AL205" t="inlineStr">
        <is>
          <t>https://www.si.edu/collection/search?edan_q=Raimondi+Stele</t>
        </is>
      </c>
      <c r="AM205" t="inlineStr">
        <is>
          <t>https://whc.unesco.org/en/search/?searchterm=Raimondi+Stele</t>
        </is>
      </c>
      <c r="AN205" t="inlineStr">
        <is>
          <t>https://whc.unesco.org/en/search/?searchterm=Raimondi+Stele</t>
        </is>
      </c>
      <c r="AO205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05" t="inlineStr">
        <is>
          <t>Mixed: direct portal homepages plus search-result URLs where the portal exposes a public search endpoint.</t>
        </is>
      </c>
    </row>
    <row r="206">
      <c r="A206" s="2" t="n">
        <v>205</v>
      </c>
      <c r="B206" s="7" t="inlineStr">
        <is>
          <t>BCE_to_1AD</t>
        </is>
      </c>
      <c r="C206" s="2" t="inlineStr">
        <is>
          <t>Andes / South America</t>
        </is>
      </c>
      <c r="D206" s="2" t="inlineStr">
        <is>
          <t>Andean traditions</t>
        </is>
      </c>
      <c r="E206" s="2" t="n">
        <v>-1200</v>
      </c>
      <c r="F206" s="2" t="n">
        <v>-500</v>
      </c>
      <c r="G206" s="2" t="inlineStr">
        <is>
          <t>c. 1200 BCE to 500 BCE</t>
        </is>
      </c>
      <c r="H206" s="2" t="inlineStr">
        <is>
          <t>Cupisnique tradition</t>
        </is>
      </c>
      <c r="I206" s="2" t="inlineStr">
        <is>
          <t>Culture / artifacts</t>
        </is>
      </c>
      <c r="J206" s="2" t="inlineStr">
        <is>
          <t>Archaeology</t>
        </is>
      </c>
      <c r="K206" s="2" t="inlineStr">
        <is>
          <t>Iconography</t>
        </is>
      </c>
      <c r="L206" s="2" t="inlineStr">
        <is>
          <t>Ceramics</t>
        </is>
      </c>
      <c r="M206" s="2" t="inlineStr">
        <is>
          <t>Peru</t>
        </is>
      </c>
      <c r="N206" s="2" t="inlineStr">
        <is>
          <t>North coast Peru</t>
        </is>
      </c>
      <c r="O206" s="2" t="inlineStr">
        <is>
          <t>Early horizon style often linked to Chavin-related iconographic currents.</t>
        </is>
      </c>
      <c r="P206" s="2" t="inlineStr">
        <is>
          <t>Useful for tracing religious motifs across regions.</t>
        </is>
      </c>
      <c r="Q206" s="2" t="inlineStr">
        <is>
          <t>Medium</t>
        </is>
      </c>
      <c r="R206" s="2" t="inlineStr">
        <is>
          <t>Not applicable</t>
        </is>
      </c>
      <c r="S206" s="2" t="inlineStr">
        <is>
          <t>Medium</t>
        </is>
      </c>
      <c r="T206" s="2" t="inlineStr">
        <is>
          <t>UNESCO</t>
        </is>
      </c>
      <c r="U206" s="8" t="inlineStr">
        <is>
          <t>https://whc.unesco.org/</t>
        </is>
      </c>
      <c r="V206" s="2" t="inlineStr">
        <is>
          <t>Internet Archive</t>
        </is>
      </c>
      <c r="W206" s="8" t="inlineStr">
        <is>
          <t>https://archive.org/</t>
        </is>
      </c>
      <c r="X206" s="2" t="inlineStr">
        <is>
          <t>Smithsonian Open Access</t>
        </is>
      </c>
      <c r="Y206" s="8" t="inlineStr">
        <is>
          <t>https://www.si.edu/openaccess</t>
        </is>
      </c>
      <c r="Z206" s="2" t="inlineStr">
        <is>
          <t>UNESCO</t>
        </is>
      </c>
      <c r="AA206" s="8" t="inlineStr">
        <is>
          <t>https://whc.unesco.org/</t>
        </is>
      </c>
      <c r="AB206" s="2" t="inlineStr">
        <is>
          <t>UNESCO</t>
        </is>
      </c>
      <c r="AC206" s="8" t="inlineStr">
        <is>
          <t>https://whc.unesco.org/</t>
        </is>
      </c>
      <c r="AD206" s="2" t="inlineStr">
        <is>
          <t>Cupisnique archaeology</t>
        </is>
      </c>
      <c r="AE206" s="2" t="inlineStr">
        <is>
          <t>Regional relationships remain debated.</t>
        </is>
      </c>
      <c r="AF206" s="2" t="inlineStr">
        <is>
          <t>Iconographic transmission</t>
        </is>
      </c>
      <c r="AG206" s="2" t="inlineStr">
        <is>
          <t>Medium</t>
        </is>
      </c>
      <c r="AH206" s="2" t="inlineStr">
        <is>
          <t>Medium</t>
        </is>
      </c>
      <c r="AI206" s="2" t="inlineStr"/>
      <c r="AJ206" t="inlineStr">
        <is>
          <t>https://whc.unesco.org/en/search/?searchterm=Cupisnique+archaeology</t>
        </is>
      </c>
      <c r="AK206" t="inlineStr">
        <is>
          <t>https://archive.org/search?query=Cupisnique+archaeology</t>
        </is>
      </c>
      <c r="AL206" t="inlineStr">
        <is>
          <t>https://www.si.edu/collection/search?edan_q=Cupisnique+archaeology</t>
        </is>
      </c>
      <c r="AM206" t="inlineStr">
        <is>
          <t>https://whc.unesco.org/en/search/?searchterm=Cupisnique+archaeology</t>
        </is>
      </c>
      <c r="AN206" t="inlineStr">
        <is>
          <t>https://whc.unesco.org/en/search/?searchterm=Cupisnique+archaeology</t>
        </is>
      </c>
      <c r="AO206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06" t="inlineStr">
        <is>
          <t>Mixed: direct portal homepages plus search-result URLs where the portal exposes a public search endpoint.</t>
        </is>
      </c>
    </row>
    <row r="207">
      <c r="A207" s="2" t="n">
        <v>206</v>
      </c>
      <c r="B207" s="7" t="inlineStr">
        <is>
          <t>BCE_to_1AD</t>
        </is>
      </c>
      <c r="C207" s="2" t="inlineStr">
        <is>
          <t>Andes / South America</t>
        </is>
      </c>
      <c r="D207" s="2" t="inlineStr">
        <is>
          <t>Andean traditions</t>
        </is>
      </c>
      <c r="E207" s="2" t="n">
        <v>-800</v>
      </c>
      <c r="F207" s="2" t="n">
        <v>-100</v>
      </c>
      <c r="G207" s="2" t="inlineStr">
        <is>
          <t>c. 800 BCE to 100 BCE</t>
        </is>
      </c>
      <c r="H207" s="2" t="inlineStr">
        <is>
          <t>Paracas Necropolis and textiles</t>
        </is>
      </c>
      <c r="I207" s="2" t="inlineStr">
        <is>
          <t>Site / artifact corpus</t>
        </is>
      </c>
      <c r="J207" s="2" t="inlineStr">
        <is>
          <t>Burials and textiles</t>
        </is>
      </c>
      <c r="K207" s="2" t="inlineStr">
        <is>
          <t>Ancestor ritual</t>
        </is>
      </c>
      <c r="L207" s="2" t="inlineStr">
        <is>
          <t>Iconography</t>
        </is>
      </c>
      <c r="M207" s="2" t="inlineStr">
        <is>
          <t>Peru</t>
        </is>
      </c>
      <c r="N207" s="2" t="inlineStr">
        <is>
          <t>South coast</t>
        </is>
      </c>
      <c r="O207" s="2" t="inlineStr">
        <is>
          <t>Burial complex with highly elaborate textiles and mortuary bundles.</t>
        </is>
      </c>
      <c r="P207" s="2" t="inlineStr">
        <is>
          <t>A major source for South American ritual imagery.</t>
        </is>
      </c>
      <c r="Q207" s="2" t="inlineStr">
        <is>
          <t>Medium</t>
        </is>
      </c>
      <c r="R207" s="2" t="inlineStr">
        <is>
          <t>Not applicable</t>
        </is>
      </c>
      <c r="S207" s="2" t="inlineStr">
        <is>
          <t>High</t>
        </is>
      </c>
      <c r="T207" s="2" t="inlineStr">
        <is>
          <t>UNESCO</t>
        </is>
      </c>
      <c r="U207" s="8" t="inlineStr">
        <is>
          <t>https://whc.unesco.org/</t>
        </is>
      </c>
      <c r="V207" s="2" t="inlineStr">
        <is>
          <t>Internet Archive</t>
        </is>
      </c>
      <c r="W207" s="8" t="inlineStr">
        <is>
          <t>https://archive.org/</t>
        </is>
      </c>
      <c r="X207" s="2" t="inlineStr">
        <is>
          <t>Smithsonian Open Access</t>
        </is>
      </c>
      <c r="Y207" s="8" t="inlineStr">
        <is>
          <t>https://www.si.edu/openaccess</t>
        </is>
      </c>
      <c r="Z207" s="2" t="inlineStr">
        <is>
          <t>UNESCO</t>
        </is>
      </c>
      <c r="AA207" s="8" t="inlineStr">
        <is>
          <t>https://whc.unesco.org/</t>
        </is>
      </c>
      <c r="AB207" s="2" t="inlineStr">
        <is>
          <t>UNESCO</t>
        </is>
      </c>
      <c r="AC207" s="8" t="inlineStr">
        <is>
          <t>https://whc.unesco.org/</t>
        </is>
      </c>
      <c r="AD207" s="2" t="inlineStr">
        <is>
          <t>Paracas textiles</t>
        </is>
      </c>
      <c r="AE207" s="2" t="inlineStr">
        <is>
          <t>Museum context is important due to dispersal.</t>
        </is>
      </c>
      <c r="AF207" s="2" t="inlineStr">
        <is>
          <t>Burials; textile cosmology</t>
        </is>
      </c>
      <c r="AG207" s="2" t="inlineStr">
        <is>
          <t>High</t>
        </is>
      </c>
      <c r="AH207" s="2" t="inlineStr">
        <is>
          <t>Medium</t>
        </is>
      </c>
      <c r="AI207" s="2" t="inlineStr"/>
      <c r="AJ207" t="inlineStr">
        <is>
          <t>https://whc.unesco.org/en/search/?searchterm=Paracas+textiles</t>
        </is>
      </c>
      <c r="AK207" t="inlineStr">
        <is>
          <t>https://archive.org/search?query=Paracas+textiles</t>
        </is>
      </c>
      <c r="AL207" t="inlineStr">
        <is>
          <t>https://www.si.edu/collection/search?edan_q=Paracas+textiles</t>
        </is>
      </c>
      <c r="AM207" t="inlineStr">
        <is>
          <t>https://whc.unesco.org/en/search/?searchterm=Paracas+textiles</t>
        </is>
      </c>
      <c r="AN207" t="inlineStr">
        <is>
          <t>https://whc.unesco.org/en/search/?searchterm=Paracas+textiles</t>
        </is>
      </c>
      <c r="AO207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07" t="inlineStr">
        <is>
          <t>Mixed: direct portal homepages plus search-result URLs where the portal exposes a public search endpoint.</t>
        </is>
      </c>
    </row>
    <row r="208">
      <c r="A208" s="2" t="n">
        <v>207</v>
      </c>
      <c r="B208" s="9" t="inlineStr">
        <is>
          <t>Later_witness_or_post_1AD_relevance</t>
        </is>
      </c>
      <c r="C208" s="2" t="inlineStr">
        <is>
          <t>Andes / South America</t>
        </is>
      </c>
      <c r="D208" s="2" t="inlineStr">
        <is>
          <t>Andean traditions</t>
        </is>
      </c>
      <c r="E208" s="2" t="n">
        <v>-500</v>
      </c>
      <c r="F208" s="2" t="n">
        <v>500</v>
      </c>
      <c r="G208" s="2" t="inlineStr">
        <is>
          <t>c. 500 BCE to 500 CE</t>
        </is>
      </c>
      <c r="H208" s="2" t="inlineStr">
        <is>
          <t>Nazca Lines</t>
        </is>
      </c>
      <c r="I208" s="2" t="inlineStr">
        <is>
          <t>Landscape / geoglyph corpus</t>
        </is>
      </c>
      <c r="J208" s="2" t="inlineStr">
        <is>
          <t>Archaeology</t>
        </is>
      </c>
      <c r="K208" s="2" t="inlineStr">
        <is>
          <t>Landscape ritual</t>
        </is>
      </c>
      <c r="L208" s="2" t="inlineStr">
        <is>
          <t>Geoglyphs</t>
        </is>
      </c>
      <c r="M208" s="2" t="inlineStr">
        <is>
          <t>Peru</t>
        </is>
      </c>
      <c r="N208" s="2" t="inlineStr">
        <is>
          <t>Nazca pampa</t>
        </is>
      </c>
      <c r="O208" s="2" t="inlineStr">
        <is>
          <t>Large geoglyph network on desert floor associated with Nazca culture.</t>
        </is>
      </c>
      <c r="P208" s="2" t="inlineStr">
        <is>
          <t>Frequently cited in ancient-astronaut interpretations.</t>
        </is>
      </c>
      <c r="Q208" s="2" t="inlineStr">
        <is>
          <t>High</t>
        </is>
      </c>
      <c r="R208" s="2" t="inlineStr">
        <is>
          <t>Not applicable</t>
        </is>
      </c>
      <c r="S208" s="2" t="inlineStr">
        <is>
          <t>High</t>
        </is>
      </c>
      <c r="T208" s="2" t="inlineStr">
        <is>
          <t>UNESCO</t>
        </is>
      </c>
      <c r="U208" s="8" t="inlineStr">
        <is>
          <t>https://whc.unesco.org/</t>
        </is>
      </c>
      <c r="V208" s="2" t="inlineStr">
        <is>
          <t>Internet Archive</t>
        </is>
      </c>
      <c r="W208" s="8" t="inlineStr">
        <is>
          <t>https://archive.org/</t>
        </is>
      </c>
      <c r="X208" s="2" t="inlineStr">
        <is>
          <t>Smithsonian Open Access</t>
        </is>
      </c>
      <c r="Y208" s="8" t="inlineStr">
        <is>
          <t>https://www.si.edu/openaccess</t>
        </is>
      </c>
      <c r="Z208" s="2" t="inlineStr">
        <is>
          <t>UNESCO</t>
        </is>
      </c>
      <c r="AA208" s="8" t="inlineStr">
        <is>
          <t>https://whc.unesco.org/</t>
        </is>
      </c>
      <c r="AB208" s="2" t="inlineStr">
        <is>
          <t>UNESCO</t>
        </is>
      </c>
      <c r="AC208" s="8" t="inlineStr">
        <is>
          <t>https://whc.unesco.org/</t>
        </is>
      </c>
      <c r="AD208" s="2" t="inlineStr">
        <is>
          <t>Nazca UNESCO</t>
        </is>
      </c>
      <c r="AE208" s="2" t="inlineStr">
        <is>
          <t>Ritual-walking and water-landscape context is essential.</t>
        </is>
      </c>
      <c r="AF208" s="2" t="inlineStr">
        <is>
          <t>Geoglyphs; desert ritual; sky views</t>
        </is>
      </c>
      <c r="AG208" s="2" t="inlineStr">
        <is>
          <t>Critical</t>
        </is>
      </c>
      <c r="AH208" s="2" t="inlineStr">
        <is>
          <t>High</t>
        </is>
      </c>
      <c r="AI208" s="2" t="inlineStr"/>
      <c r="AJ208" t="inlineStr">
        <is>
          <t>https://whc.unesco.org/en/search/?searchterm=Nazca+UNESCO</t>
        </is>
      </c>
      <c r="AK208" t="inlineStr">
        <is>
          <t>https://archive.org/search?query=Nazca+UNESCO</t>
        </is>
      </c>
      <c r="AL208" t="inlineStr">
        <is>
          <t>https://www.si.edu/collection/search?edan_q=Nazca+UNESCO</t>
        </is>
      </c>
      <c r="AM208" t="inlineStr">
        <is>
          <t>https://whc.unesco.org/en/search/?searchterm=Nazca+UNESCO</t>
        </is>
      </c>
      <c r="AN208" t="inlineStr">
        <is>
          <t>https://whc.unesco.org/en/search/?searchterm=Nazca+UNESCO</t>
        </is>
      </c>
      <c r="AO208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08" t="inlineStr">
        <is>
          <t>Mixed: direct portal homepages plus search-result URLs where the portal exposes a public search endpoint.</t>
        </is>
      </c>
    </row>
    <row r="209">
      <c r="A209" s="2" t="n">
        <v>208</v>
      </c>
      <c r="B209" s="9" t="inlineStr">
        <is>
          <t>Later_witness_or_post_1AD_relevance</t>
        </is>
      </c>
      <c r="C209" s="2" t="inlineStr">
        <is>
          <t>Andes / South America</t>
        </is>
      </c>
      <c r="D209" s="2" t="inlineStr">
        <is>
          <t>Andean traditions</t>
        </is>
      </c>
      <c r="E209" s="2" t="n">
        <v>-100</v>
      </c>
      <c r="F209" s="2" t="n">
        <v>500</v>
      </c>
      <c r="G209" s="2" t="inlineStr">
        <is>
          <t>c. 100 BCE to 500 CE</t>
        </is>
      </c>
      <c r="H209" s="2" t="inlineStr">
        <is>
          <t>Cahuachi</t>
        </is>
      </c>
      <c r="I209" s="2" t="inlineStr">
        <is>
          <t>Site</t>
        </is>
      </c>
      <c r="J209" s="2" t="inlineStr">
        <is>
          <t>Archaeology</t>
        </is>
      </c>
      <c r="K209" s="2" t="inlineStr">
        <is>
          <t>Nazca ceremonial center</t>
        </is>
      </c>
      <c r="L209" s="2" t="inlineStr">
        <is>
          <t>Ritual gatherings</t>
        </is>
      </c>
      <c r="M209" s="2" t="inlineStr">
        <is>
          <t>Peru</t>
        </is>
      </c>
      <c r="N209" s="2" t="inlineStr">
        <is>
          <t>Nazca region</t>
        </is>
      </c>
      <c r="O209" s="2" t="inlineStr">
        <is>
          <t>Major ceremonial center linked to Nazca geoglyph and pilgrimage systems.</t>
        </is>
      </c>
      <c r="P209" s="2" t="inlineStr">
        <is>
          <t>Helps ground geoglyphs in built ritual space.</t>
        </is>
      </c>
      <c r="Q209" s="2" t="inlineStr">
        <is>
          <t>Medium</t>
        </is>
      </c>
      <c r="R209" s="2" t="inlineStr">
        <is>
          <t>Not applicable</t>
        </is>
      </c>
      <c r="S209" s="2" t="inlineStr">
        <is>
          <t>Medium</t>
        </is>
      </c>
      <c r="T209" s="2" t="inlineStr">
        <is>
          <t>UNESCO</t>
        </is>
      </c>
      <c r="U209" s="8" t="inlineStr">
        <is>
          <t>https://whc.unesco.org/</t>
        </is>
      </c>
      <c r="V209" s="2" t="inlineStr">
        <is>
          <t>Internet Archive</t>
        </is>
      </c>
      <c r="W209" s="8" t="inlineStr">
        <is>
          <t>https://archive.org/</t>
        </is>
      </c>
      <c r="X209" s="2" t="inlineStr">
        <is>
          <t>Smithsonian Open Access</t>
        </is>
      </c>
      <c r="Y209" s="8" t="inlineStr">
        <is>
          <t>https://www.si.edu/openaccess</t>
        </is>
      </c>
      <c r="Z209" s="2" t="inlineStr">
        <is>
          <t>UNESCO</t>
        </is>
      </c>
      <c r="AA209" s="8" t="inlineStr">
        <is>
          <t>https://whc.unesco.org/</t>
        </is>
      </c>
      <c r="AB209" s="2" t="inlineStr">
        <is>
          <t>UNESCO</t>
        </is>
      </c>
      <c r="AC209" s="8" t="inlineStr">
        <is>
          <t>https://whc.unesco.org/</t>
        </is>
      </c>
      <c r="AD209" s="2" t="inlineStr">
        <is>
          <t>Cahuachi archaeology</t>
        </is>
      </c>
      <c r="AE209" s="2" t="inlineStr">
        <is>
          <t>Some main use is early CE.</t>
        </is>
      </c>
      <c r="AF209" s="2" t="inlineStr">
        <is>
          <t>Pilgrimage; geoglyph context</t>
        </is>
      </c>
      <c r="AG209" s="2" t="inlineStr">
        <is>
          <t>Medium</t>
        </is>
      </c>
      <c r="AH209" s="2" t="inlineStr">
        <is>
          <t>Medium</t>
        </is>
      </c>
      <c r="AI209" s="2" t="inlineStr"/>
      <c r="AJ209" t="inlineStr">
        <is>
          <t>https://whc.unesco.org/en/search/?searchterm=Cahuachi+archaeology</t>
        </is>
      </c>
      <c r="AK209" t="inlineStr">
        <is>
          <t>https://archive.org/search?query=Cahuachi+archaeology</t>
        </is>
      </c>
      <c r="AL209" t="inlineStr">
        <is>
          <t>https://www.si.edu/collection/search?edan_q=Cahuachi+archaeology</t>
        </is>
      </c>
      <c r="AM209" t="inlineStr">
        <is>
          <t>https://whc.unesco.org/en/search/?searchterm=Cahuachi+archaeology</t>
        </is>
      </c>
      <c r="AN209" t="inlineStr">
        <is>
          <t>https://whc.unesco.org/en/search/?searchterm=Cahuachi+archaeology</t>
        </is>
      </c>
      <c r="AO209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09" t="inlineStr">
        <is>
          <t>Mixed: direct portal homepages plus search-result URLs where the portal exposes a public search endpoint.</t>
        </is>
      </c>
    </row>
    <row r="210">
      <c r="A210" s="2" t="n">
        <v>209</v>
      </c>
      <c r="B210" s="9" t="inlineStr">
        <is>
          <t>Later_witness_or_post_1AD_relevance</t>
        </is>
      </c>
      <c r="C210" s="2" t="inlineStr">
        <is>
          <t>Andes / South America</t>
        </is>
      </c>
      <c r="D210" s="2" t="inlineStr">
        <is>
          <t>Andean traditions</t>
        </is>
      </c>
      <c r="E210" s="2" t="n">
        <v>-200</v>
      </c>
      <c r="F210" s="2" t="n">
        <v>300</v>
      </c>
      <c r="G210" s="2" t="inlineStr">
        <is>
          <t>c. 200 BCE to 300 CE</t>
        </is>
      </c>
      <c r="H210" s="2" t="inlineStr">
        <is>
          <t>Tiwanaku (early phases)</t>
        </is>
      </c>
      <c r="I210" s="2" t="inlineStr">
        <is>
          <t>Site</t>
        </is>
      </c>
      <c r="J210" s="2" t="inlineStr">
        <is>
          <t>Archaeology</t>
        </is>
      </c>
      <c r="K210" s="2" t="inlineStr">
        <is>
          <t>Highland center</t>
        </is>
      </c>
      <c r="L210" s="2" t="inlineStr">
        <is>
          <t>Monumentality</t>
        </is>
      </c>
      <c r="M210" s="2" t="inlineStr">
        <is>
          <t>Bolivia</t>
        </is>
      </c>
      <c r="N210" s="2" t="inlineStr">
        <is>
          <t>Lake Titicaca basin</t>
        </is>
      </c>
      <c r="O210" s="2" t="inlineStr">
        <is>
          <t>Early phases of the highland center later famous for major stone monuments.</t>
        </is>
      </c>
      <c r="P210" s="2" t="inlineStr">
        <is>
          <t>Useful but the most cited monumental phases are later.</t>
        </is>
      </c>
      <c r="Q210" s="2" t="inlineStr">
        <is>
          <t>High</t>
        </is>
      </c>
      <c r="R210" s="2" t="inlineStr">
        <is>
          <t>Not applicable</t>
        </is>
      </c>
      <c r="S210" s="2" t="inlineStr">
        <is>
          <t>Medium</t>
        </is>
      </c>
      <c r="T210" s="2" t="inlineStr">
        <is>
          <t>UNESCO</t>
        </is>
      </c>
      <c r="U210" s="8" t="inlineStr">
        <is>
          <t>https://whc.unesco.org/</t>
        </is>
      </c>
      <c r="V210" s="2" t="inlineStr">
        <is>
          <t>Internet Archive</t>
        </is>
      </c>
      <c r="W210" s="8" t="inlineStr">
        <is>
          <t>https://archive.org/</t>
        </is>
      </c>
      <c r="X210" s="2" t="inlineStr">
        <is>
          <t>Smithsonian Open Access</t>
        </is>
      </c>
      <c r="Y210" s="8" t="inlineStr">
        <is>
          <t>https://www.si.edu/openaccess</t>
        </is>
      </c>
      <c r="Z210" s="2" t="inlineStr">
        <is>
          <t>UNESCO</t>
        </is>
      </c>
      <c r="AA210" s="8" t="inlineStr">
        <is>
          <t>https://whc.unesco.org/</t>
        </is>
      </c>
      <c r="AB210" s="2" t="inlineStr">
        <is>
          <t>UNESCO</t>
        </is>
      </c>
      <c r="AC210" s="8" t="inlineStr">
        <is>
          <t>https://whc.unesco.org/</t>
        </is>
      </c>
      <c r="AD210" s="2" t="inlineStr">
        <is>
          <t>Tiwanaku archaeology</t>
        </is>
      </c>
      <c r="AE210" s="2" t="inlineStr">
        <is>
          <t>Late monumental florescence is post-1 AD.</t>
        </is>
      </c>
      <c r="AF210" s="2" t="inlineStr">
        <is>
          <t>Highland sacred center; lakeside myths</t>
        </is>
      </c>
      <c r="AG210" s="2" t="inlineStr">
        <is>
          <t>High</t>
        </is>
      </c>
      <c r="AH210" s="2" t="inlineStr">
        <is>
          <t>High</t>
        </is>
      </c>
      <c r="AI210" s="2" t="inlineStr"/>
      <c r="AJ210" t="inlineStr">
        <is>
          <t>https://whc.unesco.org/en/search/?searchterm=Tiwanaku+archaeology</t>
        </is>
      </c>
      <c r="AK210" t="inlineStr">
        <is>
          <t>https://archive.org/search?query=Tiwanaku+archaeology</t>
        </is>
      </c>
      <c r="AL210" t="inlineStr">
        <is>
          <t>https://www.si.edu/collection/search?edan_q=Tiwanaku+archaeology</t>
        </is>
      </c>
      <c r="AM210" t="inlineStr">
        <is>
          <t>https://whc.unesco.org/en/search/?searchterm=Tiwanaku+archaeology</t>
        </is>
      </c>
      <c r="AN210" t="inlineStr">
        <is>
          <t>https://whc.unesco.org/en/search/?searchterm=Tiwanaku+archaeology</t>
        </is>
      </c>
      <c r="AO210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10" t="inlineStr">
        <is>
          <t>Mixed: direct portal homepages plus search-result URLs where the portal exposes a public search endpoint.</t>
        </is>
      </c>
    </row>
    <row r="211">
      <c r="A211" s="2" t="n">
        <v>210</v>
      </c>
      <c r="B211" s="9" t="inlineStr">
        <is>
          <t>Later_witness_or_post_1AD_relevance</t>
        </is>
      </c>
      <c r="C211" s="2" t="inlineStr">
        <is>
          <t>Andes / South America</t>
        </is>
      </c>
      <c r="D211" s="2" t="inlineStr">
        <is>
          <t>Andean traditions</t>
        </is>
      </c>
      <c r="E211" s="2" t="n">
        <v>-500</v>
      </c>
      <c r="F211" s="2" t="n">
        <v>1600</v>
      </c>
      <c r="G211" s="2" t="inlineStr">
        <is>
          <t>c. 500 BCE to 1600 CE</t>
        </is>
      </c>
      <c r="H211" s="2" t="inlineStr">
        <is>
          <t>Viracocha traditions</t>
        </is>
      </c>
      <c r="I211" s="2" t="inlineStr">
        <is>
          <t>Legend / later witness</t>
        </is>
      </c>
      <c r="J211" s="2" t="inlineStr">
        <is>
          <t>Later colonial manuscripts preserving earlier tradition</t>
        </is>
      </c>
      <c r="K211" s="2" t="inlineStr">
        <is>
          <t>Creation</t>
        </is>
      </c>
      <c r="L211" s="2" t="inlineStr">
        <is>
          <t>Culture hero</t>
        </is>
      </c>
      <c r="M211" s="2" t="inlineStr">
        <is>
          <t>Peru/Bolivia</t>
        </is>
      </c>
      <c r="N211" s="2" t="inlineStr">
        <is>
          <t>Andean tradition</t>
        </is>
      </c>
      <c r="O211" s="2" t="inlineStr">
        <is>
          <t>Creator-deity traditions connected with Lake Titicaca, emergence, flood, and civilizing acts.</t>
        </is>
      </c>
      <c r="P211" s="2" t="inlineStr">
        <is>
          <t>One of the most important Andean comparanda for civilizer-god and flood themes.</t>
        </is>
      </c>
      <c r="Q211" s="2" t="inlineStr">
        <is>
          <t>High</t>
        </is>
      </c>
      <c r="R211" s="2" t="inlineStr">
        <is>
          <t>High</t>
        </is>
      </c>
      <c r="S211" s="2" t="inlineStr">
        <is>
          <t>Low</t>
        </is>
      </c>
      <c r="T211" s="2" t="inlineStr">
        <is>
          <t>UNESCO</t>
        </is>
      </c>
      <c r="U211" s="8" t="inlineStr">
        <is>
          <t>https://whc.unesco.org/</t>
        </is>
      </c>
      <c r="V211" s="2" t="inlineStr">
        <is>
          <t>Internet Archive</t>
        </is>
      </c>
      <c r="W211" s="8" t="inlineStr">
        <is>
          <t>https://archive.org/</t>
        </is>
      </c>
      <c r="X211" s="2" t="inlineStr">
        <is>
          <t>Smithsonian Open Access</t>
        </is>
      </c>
      <c r="Y211" s="8" t="inlineStr">
        <is>
          <t>https://www.si.edu/openaccess</t>
        </is>
      </c>
      <c r="Z211" s="2" t="inlineStr">
        <is>
          <t>UNESCO</t>
        </is>
      </c>
      <c r="AA211" s="8" t="inlineStr">
        <is>
          <t>https://whc.unesco.org/</t>
        </is>
      </c>
      <c r="AB211" s="2" t="inlineStr">
        <is>
          <t>UNESCO</t>
        </is>
      </c>
      <c r="AC211" s="8" t="inlineStr">
        <is>
          <t>https://whc.unesco.org/</t>
        </is>
      </c>
      <c r="AD211" s="2" t="inlineStr">
        <is>
          <t>Viracocha chronicles</t>
        </is>
      </c>
      <c r="AE211" s="2" t="inlineStr">
        <is>
          <t>Textual witnesses are postconquest and must be handled critically.</t>
        </is>
      </c>
      <c r="AF211" s="2" t="inlineStr">
        <is>
          <t>Creation; flood; culture hero</t>
        </is>
      </c>
      <c r="AG211" s="2" t="inlineStr">
        <is>
          <t>Critical</t>
        </is>
      </c>
      <c r="AH211" s="2" t="inlineStr">
        <is>
          <t>High</t>
        </is>
      </c>
      <c r="AI211" s="2" t="inlineStr"/>
      <c r="AJ211" t="inlineStr">
        <is>
          <t>https://whc.unesco.org/en/search/?searchterm=Viracocha+chronicles</t>
        </is>
      </c>
      <c r="AK211" t="inlineStr">
        <is>
          <t>https://archive.org/search?query=Viracocha+chronicles</t>
        </is>
      </c>
      <c r="AL211" t="inlineStr">
        <is>
          <t>https://www.si.edu/collection/search?edan_q=Viracocha+chronicles</t>
        </is>
      </c>
      <c r="AM211" t="inlineStr">
        <is>
          <t>https://whc.unesco.org/en/search/?searchterm=Viracocha+chronicles</t>
        </is>
      </c>
      <c r="AN211" t="inlineStr">
        <is>
          <t>https://whc.unesco.org/en/search/?searchterm=Viracocha+chronicles</t>
        </is>
      </c>
      <c r="AO211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11" t="inlineStr">
        <is>
          <t>Mixed: direct portal homepages plus search-result URLs where the portal exposes a public search endpoint.</t>
        </is>
      </c>
    </row>
    <row r="212">
      <c r="A212" s="2" t="n">
        <v>211</v>
      </c>
      <c r="B212" s="9" t="inlineStr">
        <is>
          <t>Later_witness_or_post_1AD_relevance</t>
        </is>
      </c>
      <c r="C212" s="2" t="inlineStr">
        <is>
          <t>Andes / South America</t>
        </is>
      </c>
      <c r="D212" s="2" t="inlineStr">
        <is>
          <t>Andean traditions</t>
        </is>
      </c>
      <c r="E212" s="2" t="n">
        <v>-1000</v>
      </c>
      <c r="F212" s="2" t="n">
        <v>1600</v>
      </c>
      <c r="G212" s="2" t="inlineStr">
        <is>
          <t>c. 1000 BCE to 1600 CE</t>
        </is>
      </c>
      <c r="H212" s="2" t="inlineStr">
        <is>
          <t>Sacsayhuaman / polygonal masonry (later witness)</t>
        </is>
      </c>
      <c r="I212" s="2" t="inlineStr">
        <is>
          <t>Site / later witness</t>
        </is>
      </c>
      <c r="J212" s="2" t="inlineStr">
        <is>
          <t>Archaeology</t>
        </is>
      </c>
      <c r="K212" s="2" t="inlineStr">
        <is>
          <t>Megaliths</t>
        </is>
      </c>
      <c r="L212" s="2" t="inlineStr">
        <is>
          <t>Inca and pre-Inca building</t>
        </is>
      </c>
      <c r="M212" s="2" t="inlineStr">
        <is>
          <t>Peru</t>
        </is>
      </c>
      <c r="N212" s="2" t="inlineStr">
        <is>
          <t>Cusco</t>
        </is>
      </c>
      <c r="O212" s="2" t="inlineStr">
        <is>
          <t>Massive stonework complex often used in megalithic-tech arguments.</t>
        </is>
      </c>
      <c r="P212" s="2" t="inlineStr">
        <is>
          <t>Outside BCE scope but too commonly cited to ignore.</t>
        </is>
      </c>
      <c r="Q212" s="2" t="inlineStr">
        <is>
          <t>High</t>
        </is>
      </c>
      <c r="R212" s="2" t="inlineStr">
        <is>
          <t>Not applicable</t>
        </is>
      </c>
      <c r="S212" s="2" t="inlineStr">
        <is>
          <t>High</t>
        </is>
      </c>
      <c r="T212" s="2" t="inlineStr">
        <is>
          <t>UNESCO</t>
        </is>
      </c>
      <c r="U212" s="8" t="inlineStr">
        <is>
          <t>https://whc.unesco.org/</t>
        </is>
      </c>
      <c r="V212" s="2" t="inlineStr">
        <is>
          <t>Internet Archive</t>
        </is>
      </c>
      <c r="W212" s="8" t="inlineStr">
        <is>
          <t>https://archive.org/</t>
        </is>
      </c>
      <c r="X212" s="2" t="inlineStr">
        <is>
          <t>Smithsonian Open Access</t>
        </is>
      </c>
      <c r="Y212" s="8" t="inlineStr">
        <is>
          <t>https://www.si.edu/openaccess</t>
        </is>
      </c>
      <c r="Z212" s="2" t="inlineStr">
        <is>
          <t>UNESCO</t>
        </is>
      </c>
      <c r="AA212" s="8" t="inlineStr">
        <is>
          <t>https://whc.unesco.org/</t>
        </is>
      </c>
      <c r="AB212" s="2" t="inlineStr">
        <is>
          <t>UNESCO</t>
        </is>
      </c>
      <c r="AC212" s="8" t="inlineStr">
        <is>
          <t>https://whc.unesco.org/</t>
        </is>
      </c>
      <c r="AD212" s="2" t="inlineStr">
        <is>
          <t>Sacsayhuaman archaeology</t>
        </is>
      </c>
      <c r="AE212" s="2" t="inlineStr">
        <is>
          <t>Mostly much later than 1 AD.</t>
        </is>
      </c>
      <c r="AF212" s="2" t="inlineStr">
        <is>
          <t>Polygonal masonry; imperial ritual</t>
        </is>
      </c>
      <c r="AG212" s="2" t="inlineStr">
        <is>
          <t>High</t>
        </is>
      </c>
      <c r="AH212" s="2" t="inlineStr">
        <is>
          <t>High</t>
        </is>
      </c>
      <c r="AI212" s="2" t="inlineStr"/>
      <c r="AJ212" t="inlineStr">
        <is>
          <t>https://whc.unesco.org/en/search/?searchterm=Sacsayhuaman+archaeology</t>
        </is>
      </c>
      <c r="AK212" t="inlineStr">
        <is>
          <t>https://archive.org/search?query=Sacsayhuaman+archaeology</t>
        </is>
      </c>
      <c r="AL212" t="inlineStr">
        <is>
          <t>https://www.si.edu/collection/search?edan_q=Sacsayhuaman+archaeology</t>
        </is>
      </c>
      <c r="AM212" t="inlineStr">
        <is>
          <t>https://whc.unesco.org/en/search/?searchterm=Sacsayhuaman+archaeology</t>
        </is>
      </c>
      <c r="AN212" t="inlineStr">
        <is>
          <t>https://whc.unesco.org/en/search/?searchterm=Sacsayhuaman+archaeology</t>
        </is>
      </c>
      <c r="AO212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12" t="inlineStr">
        <is>
          <t>Mixed: direct portal homepages plus search-result URLs where the portal exposes a public search endpoint.</t>
        </is>
      </c>
    </row>
    <row r="213">
      <c r="A213" s="2" t="n">
        <v>212</v>
      </c>
      <c r="B213" s="9" t="inlineStr">
        <is>
          <t>Later_witness_or_post_1AD_relevance</t>
        </is>
      </c>
      <c r="C213" s="2" t="inlineStr">
        <is>
          <t>Andes / South America</t>
        </is>
      </c>
      <c r="D213" s="2" t="inlineStr">
        <is>
          <t>Andean traditions</t>
        </is>
      </c>
      <c r="E213" s="2" t="n">
        <v>-1000</v>
      </c>
      <c r="F213" s="2" t="n">
        <v>1600</v>
      </c>
      <c r="G213" s="2" t="inlineStr">
        <is>
          <t>c. 1000 BCE to 1600 CE</t>
        </is>
      </c>
      <c r="H213" s="2" t="inlineStr">
        <is>
          <t>Puma Punku (later monumental phases)</t>
        </is>
      </c>
      <c r="I213" s="2" t="inlineStr">
        <is>
          <t>Site / later witness</t>
        </is>
      </c>
      <c r="J213" s="2" t="inlineStr">
        <is>
          <t>Archaeology</t>
        </is>
      </c>
      <c r="K213" s="2" t="inlineStr">
        <is>
          <t>Megaliths</t>
        </is>
      </c>
      <c r="L213" s="2" t="inlineStr">
        <is>
          <t>Stonework claims</t>
        </is>
      </c>
      <c r="M213" s="2" t="inlineStr">
        <is>
          <t>Bolivia</t>
        </is>
      </c>
      <c r="N213" s="2" t="inlineStr">
        <is>
          <t>Tiwanaku complex</t>
        </is>
      </c>
      <c r="O213" s="2" t="inlineStr">
        <is>
          <t>Stone architecture famous in alternative-history media.</t>
        </is>
      </c>
      <c r="P213" s="2" t="inlineStr">
        <is>
          <t>Outside core BCE frame but central to Hancock-style discourse.</t>
        </is>
      </c>
      <c r="Q213" s="2" t="inlineStr">
        <is>
          <t>High</t>
        </is>
      </c>
      <c r="R213" s="2" t="inlineStr">
        <is>
          <t>Not applicable</t>
        </is>
      </c>
      <c r="S213" s="2" t="inlineStr">
        <is>
          <t>High</t>
        </is>
      </c>
      <c r="T213" s="2" t="inlineStr">
        <is>
          <t>UNESCO</t>
        </is>
      </c>
      <c r="U213" s="8" t="inlineStr">
        <is>
          <t>https://whc.unesco.org/</t>
        </is>
      </c>
      <c r="V213" s="2" t="inlineStr">
        <is>
          <t>Internet Archive</t>
        </is>
      </c>
      <c r="W213" s="8" t="inlineStr">
        <is>
          <t>https://archive.org/</t>
        </is>
      </c>
      <c r="X213" s="2" t="inlineStr">
        <is>
          <t>Smithsonian Open Access</t>
        </is>
      </c>
      <c r="Y213" s="8" t="inlineStr">
        <is>
          <t>https://www.si.edu/openaccess</t>
        </is>
      </c>
      <c r="Z213" s="2" t="inlineStr">
        <is>
          <t>UNESCO</t>
        </is>
      </c>
      <c r="AA213" s="8" t="inlineStr">
        <is>
          <t>https://whc.unesco.org/</t>
        </is>
      </c>
      <c r="AB213" s="2" t="inlineStr">
        <is>
          <t>UNESCO</t>
        </is>
      </c>
      <c r="AC213" s="8" t="inlineStr">
        <is>
          <t>https://whc.unesco.org/</t>
        </is>
      </c>
      <c r="AD213" s="2" t="inlineStr">
        <is>
          <t>Puma Punku archaeology</t>
        </is>
      </c>
      <c r="AE213" s="2" t="inlineStr">
        <is>
          <t>Most main construction is later than BCE.</t>
        </is>
      </c>
      <c r="AF213" s="2" t="inlineStr">
        <is>
          <t>Precision stonework; highland monumentality</t>
        </is>
      </c>
      <c r="AG213" s="2" t="inlineStr">
        <is>
          <t>High</t>
        </is>
      </c>
      <c r="AH213" s="2" t="inlineStr">
        <is>
          <t>High</t>
        </is>
      </c>
      <c r="AI213" s="2" t="inlineStr"/>
      <c r="AJ213" t="inlineStr">
        <is>
          <t>https://whc.unesco.org/en/search/?searchterm=Puma+Punku+archaeology</t>
        </is>
      </c>
      <c r="AK213" t="inlineStr">
        <is>
          <t>https://archive.org/search?query=Puma+Punku+archaeology</t>
        </is>
      </c>
      <c r="AL213" t="inlineStr">
        <is>
          <t>https://www.si.edu/collection/search?edan_q=Puma+Punku+archaeology</t>
        </is>
      </c>
      <c r="AM213" t="inlineStr">
        <is>
          <t>https://whc.unesco.org/en/search/?searchterm=Puma+Punku+archaeology</t>
        </is>
      </c>
      <c r="AN213" t="inlineStr">
        <is>
          <t>https://whc.unesco.org/en/search/?searchterm=Puma+Punku+archaeology</t>
        </is>
      </c>
      <c r="AO213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13" t="inlineStr">
        <is>
          <t>Mixed: direct portal homepages plus search-result URLs where the portal exposes a public search endpoint.</t>
        </is>
      </c>
    </row>
    <row r="214">
      <c r="A214" s="2" t="n">
        <v>213</v>
      </c>
      <c r="B214" s="7" t="inlineStr">
        <is>
          <t>BCE_to_1AD</t>
        </is>
      </c>
      <c r="C214" s="2" t="inlineStr">
        <is>
          <t>North America / Oceania</t>
        </is>
      </c>
      <c r="D214" s="2" t="inlineStr">
        <is>
          <t>North American and Oceanian traditions</t>
        </is>
      </c>
      <c r="E214" s="2" t="n">
        <v>-1700</v>
      </c>
      <c r="F214" s="2" t="n">
        <v>-1100</v>
      </c>
      <c r="G214" s="2" t="inlineStr">
        <is>
          <t>c. 1700 BCE to 1100 BCE</t>
        </is>
      </c>
      <c r="H214" s="2" t="inlineStr">
        <is>
          <t>Poverty Point</t>
        </is>
      </c>
      <c r="I214" s="2" t="inlineStr">
        <is>
          <t>Site</t>
        </is>
      </c>
      <c r="J214" s="2" t="inlineStr">
        <is>
          <t>Archaeology</t>
        </is>
      </c>
      <c r="K214" s="2" t="inlineStr">
        <is>
          <t>Earthworks</t>
        </is>
      </c>
      <c r="L214" s="2" t="inlineStr">
        <is>
          <t>Exchange networks</t>
        </is>
      </c>
      <c r="M214" s="2" t="inlineStr">
        <is>
          <t>USA</t>
        </is>
      </c>
      <c r="N214" s="2" t="inlineStr">
        <is>
          <t>Lower Mississippi Valley</t>
        </is>
      </c>
      <c r="O214" s="2" t="inlineStr">
        <is>
          <t>Large earthwork complex built by hunter-gatherer communities.</t>
        </is>
      </c>
      <c r="P214" s="2" t="inlineStr">
        <is>
          <t>Important for deep North American monumentality before agriculture-heavy models.</t>
        </is>
      </c>
      <c r="Q214" s="2" t="inlineStr">
        <is>
          <t>Medium</t>
        </is>
      </c>
      <c r="R214" s="2" t="inlineStr">
        <is>
          <t>Not applicable</t>
        </is>
      </c>
      <c r="S214" s="2" t="inlineStr">
        <is>
          <t>High</t>
        </is>
      </c>
      <c r="T214" s="2" t="inlineStr">
        <is>
          <t>UNESCO</t>
        </is>
      </c>
      <c r="U214" s="8" t="inlineStr">
        <is>
          <t>https://whc.unesco.org/</t>
        </is>
      </c>
      <c r="V214" s="2" t="inlineStr">
        <is>
          <t>Internet Archive</t>
        </is>
      </c>
      <c r="W214" s="8" t="inlineStr">
        <is>
          <t>https://archive.org/</t>
        </is>
      </c>
      <c r="X214" s="2" t="inlineStr">
        <is>
          <t>Smithsonian Open Access</t>
        </is>
      </c>
      <c r="Y214" s="8" t="inlineStr">
        <is>
          <t>https://www.si.edu/openaccess</t>
        </is>
      </c>
      <c r="Z214" s="2" t="inlineStr">
        <is>
          <t>UNESCO</t>
        </is>
      </c>
      <c r="AA214" s="8" t="inlineStr">
        <is>
          <t>https://whc.unesco.org/</t>
        </is>
      </c>
      <c r="AB214" s="2" t="inlineStr">
        <is>
          <t>UNESCO</t>
        </is>
      </c>
      <c r="AC214" s="8" t="inlineStr">
        <is>
          <t>https://whc.unesco.org/</t>
        </is>
      </c>
      <c r="AD214" s="2" t="inlineStr">
        <is>
          <t>Poverty Point UNESCO</t>
        </is>
      </c>
      <c r="AE214" s="2" t="inlineStr">
        <is>
          <t>Use concentric-ridge and trade evidence together.</t>
        </is>
      </c>
      <c r="AF214" s="2" t="inlineStr">
        <is>
          <t>Earthworks; long-distance exchange</t>
        </is>
      </c>
      <c r="AG214" s="2" t="inlineStr">
        <is>
          <t>High</t>
        </is>
      </c>
      <c r="AH214" s="2" t="inlineStr">
        <is>
          <t>Medium</t>
        </is>
      </c>
      <c r="AI214" s="2" t="inlineStr"/>
      <c r="AJ214" t="inlineStr">
        <is>
          <t>https://whc.unesco.org/en/search/?searchterm=Poverty+Point+UNESCO</t>
        </is>
      </c>
      <c r="AK214" t="inlineStr">
        <is>
          <t>https://archive.org/search?query=Poverty+Point+UNESCO</t>
        </is>
      </c>
      <c r="AL214" t="inlineStr">
        <is>
          <t>https://www.si.edu/collection/search?edan_q=Poverty+Point+UNESCO</t>
        </is>
      </c>
      <c r="AM214" t="inlineStr">
        <is>
          <t>https://whc.unesco.org/en/search/?searchterm=Poverty+Point+UNESCO</t>
        </is>
      </c>
      <c r="AN214" t="inlineStr">
        <is>
          <t>https://whc.unesco.org/en/search/?searchterm=Poverty+Point+UNESCO</t>
        </is>
      </c>
      <c r="AO214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14" t="inlineStr">
        <is>
          <t>Mixed: direct portal homepages plus search-result URLs where the portal exposes a public search endpoint.</t>
        </is>
      </c>
    </row>
    <row r="215">
      <c r="A215" s="2" t="n">
        <v>214</v>
      </c>
      <c r="B215" s="7" t="inlineStr">
        <is>
          <t>BCE_to_1AD</t>
        </is>
      </c>
      <c r="C215" s="2" t="inlineStr">
        <is>
          <t>North America / Oceania</t>
        </is>
      </c>
      <c r="D215" s="2" t="inlineStr">
        <is>
          <t>North American and Oceanian traditions</t>
        </is>
      </c>
      <c r="E215" s="2" t="n">
        <v>-3500</v>
      </c>
      <c r="F215" s="2" t="n">
        <v>-3000</v>
      </c>
      <c r="G215" s="2" t="inlineStr">
        <is>
          <t>c. 3500 BCE to 3000 BCE</t>
        </is>
      </c>
      <c r="H215" s="2" t="inlineStr">
        <is>
          <t>Watson Brake</t>
        </is>
      </c>
      <c r="I215" s="2" t="inlineStr">
        <is>
          <t>Site</t>
        </is>
      </c>
      <c r="J215" s="2" t="inlineStr">
        <is>
          <t>Archaeology</t>
        </is>
      </c>
      <c r="K215" s="2" t="inlineStr">
        <is>
          <t>Earthworks</t>
        </is>
      </c>
      <c r="L215" s="2" t="inlineStr">
        <is>
          <t>Early monumentality</t>
        </is>
      </c>
      <c r="M215" s="2" t="inlineStr">
        <is>
          <t>USA</t>
        </is>
      </c>
      <c r="N215" s="2" t="inlineStr">
        <is>
          <t>Louisiana</t>
        </is>
      </c>
      <c r="O215" s="2" t="inlineStr">
        <is>
          <t>Very early mound complex built by mobile or semi-sedentary communities.</t>
        </is>
      </c>
      <c r="P215" s="2" t="inlineStr">
        <is>
          <t>Good comparative case for early ceremonial construction.</t>
        </is>
      </c>
      <c r="Q215" s="2" t="inlineStr">
        <is>
          <t>Low</t>
        </is>
      </c>
      <c r="R215" s="2" t="inlineStr">
        <is>
          <t>Not applicable</t>
        </is>
      </c>
      <c r="S215" s="2" t="inlineStr">
        <is>
          <t>Medium</t>
        </is>
      </c>
      <c r="T215" s="2" t="inlineStr">
        <is>
          <t>UNESCO</t>
        </is>
      </c>
      <c r="U215" s="8" t="inlineStr">
        <is>
          <t>https://whc.unesco.org/</t>
        </is>
      </c>
      <c r="V215" s="2" t="inlineStr">
        <is>
          <t>Internet Archive</t>
        </is>
      </c>
      <c r="W215" s="8" t="inlineStr">
        <is>
          <t>https://archive.org/</t>
        </is>
      </c>
      <c r="X215" s="2" t="inlineStr">
        <is>
          <t>Smithsonian Open Access</t>
        </is>
      </c>
      <c r="Y215" s="8" t="inlineStr">
        <is>
          <t>https://www.si.edu/openaccess</t>
        </is>
      </c>
      <c r="Z215" s="2" t="inlineStr">
        <is>
          <t>UNESCO</t>
        </is>
      </c>
      <c r="AA215" s="8" t="inlineStr">
        <is>
          <t>https://whc.unesco.org/</t>
        </is>
      </c>
      <c r="AB215" s="2" t="inlineStr">
        <is>
          <t>UNESCO</t>
        </is>
      </c>
      <c r="AC215" s="8" t="inlineStr">
        <is>
          <t>https://whc.unesco.org/</t>
        </is>
      </c>
      <c r="AD215" s="2" t="inlineStr">
        <is>
          <t>Watson Brake archaeology</t>
        </is>
      </c>
      <c r="AE215" s="2" t="inlineStr">
        <is>
          <t>Less image-rich online than Poverty Point.</t>
        </is>
      </c>
      <c r="AF215" s="2" t="inlineStr">
        <is>
          <t>Mounds; communal labor</t>
        </is>
      </c>
      <c r="AG215" s="2" t="inlineStr">
        <is>
          <t>Medium</t>
        </is>
      </c>
      <c r="AH215" s="2" t="inlineStr">
        <is>
          <t>Low</t>
        </is>
      </c>
      <c r="AI215" s="2" t="inlineStr"/>
      <c r="AJ215" t="inlineStr">
        <is>
          <t>https://whc.unesco.org/en/search/?searchterm=Watson+Brake+archaeology</t>
        </is>
      </c>
      <c r="AK215" t="inlineStr">
        <is>
          <t>https://archive.org/search?query=Watson+Brake+archaeology</t>
        </is>
      </c>
      <c r="AL215" t="inlineStr">
        <is>
          <t>https://www.si.edu/collection/search?edan_q=Watson+Brake+archaeology</t>
        </is>
      </c>
      <c r="AM215" t="inlineStr">
        <is>
          <t>https://whc.unesco.org/en/search/?searchterm=Watson+Brake+archaeology</t>
        </is>
      </c>
      <c r="AN215" t="inlineStr">
        <is>
          <t>https://whc.unesco.org/en/search/?searchterm=Watson+Brake+archaeology</t>
        </is>
      </c>
      <c r="AO215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15" t="inlineStr">
        <is>
          <t>Mixed: direct portal homepages plus search-result URLs where the portal exposes a public search endpoint.</t>
        </is>
      </c>
    </row>
    <row r="216">
      <c r="A216" s="2" t="n">
        <v>215</v>
      </c>
      <c r="B216" s="7" t="inlineStr">
        <is>
          <t>BCE_to_1AD</t>
        </is>
      </c>
      <c r="C216" s="2" t="inlineStr">
        <is>
          <t>North America / Oceania</t>
        </is>
      </c>
      <c r="D216" s="2" t="inlineStr">
        <is>
          <t>North American and Oceanian traditions</t>
        </is>
      </c>
      <c r="E216" s="2" t="n">
        <v>-800</v>
      </c>
      <c r="F216" s="2" t="n">
        <v>-100</v>
      </c>
      <c r="G216" s="2" t="inlineStr">
        <is>
          <t>c. 800 BCE to 100 BCE</t>
        </is>
      </c>
      <c r="H216" s="2" t="inlineStr">
        <is>
          <t>Adena and Hopewell earthworks</t>
        </is>
      </c>
      <c r="I216" s="2" t="inlineStr">
        <is>
          <t>Culture / site corpus</t>
        </is>
      </c>
      <c r="J216" s="2" t="inlineStr">
        <is>
          <t>Archaeology</t>
        </is>
      </c>
      <c r="K216" s="2" t="inlineStr">
        <is>
          <t>Mounds</t>
        </is>
      </c>
      <c r="L216" s="2" t="inlineStr">
        <is>
          <t>Exchange and ritual</t>
        </is>
      </c>
      <c r="M216" s="2" t="inlineStr">
        <is>
          <t>USA</t>
        </is>
      </c>
      <c r="N216" s="2" t="inlineStr">
        <is>
          <t>Eastern Woodlands</t>
        </is>
      </c>
      <c r="O216" s="2" t="inlineStr">
        <is>
          <t>Monumental earthworks and burial traditions of eastern North America.</t>
        </is>
      </c>
      <c r="P216" s="2" t="inlineStr">
        <is>
          <t>Useful for cosmogram and landscape ritual studies.</t>
        </is>
      </c>
      <c r="Q216" s="2" t="inlineStr">
        <is>
          <t>Medium</t>
        </is>
      </c>
      <c r="R216" s="2" t="inlineStr">
        <is>
          <t>Not applicable</t>
        </is>
      </c>
      <c r="S216" s="2" t="inlineStr">
        <is>
          <t>High</t>
        </is>
      </c>
      <c r="T216" s="2" t="inlineStr">
        <is>
          <t>UNESCO</t>
        </is>
      </c>
      <c r="U216" s="8" t="inlineStr">
        <is>
          <t>https://whc.unesco.org/</t>
        </is>
      </c>
      <c r="V216" s="2" t="inlineStr">
        <is>
          <t>Internet Archive</t>
        </is>
      </c>
      <c r="W216" s="8" t="inlineStr">
        <is>
          <t>https://archive.org/</t>
        </is>
      </c>
      <c r="X216" s="2" t="inlineStr">
        <is>
          <t>Smithsonian Open Access</t>
        </is>
      </c>
      <c r="Y216" s="8" t="inlineStr">
        <is>
          <t>https://www.si.edu/openaccess</t>
        </is>
      </c>
      <c r="Z216" s="2" t="inlineStr">
        <is>
          <t>UNESCO</t>
        </is>
      </c>
      <c r="AA216" s="8" t="inlineStr">
        <is>
          <t>https://whc.unesco.org/</t>
        </is>
      </c>
      <c r="AB216" s="2" t="inlineStr">
        <is>
          <t>UNESCO</t>
        </is>
      </c>
      <c r="AC216" s="8" t="inlineStr">
        <is>
          <t>https://whc.unesco.org/</t>
        </is>
      </c>
      <c r="AD216" s="2" t="inlineStr">
        <is>
          <t>Hopewell earthworks UNESCO</t>
        </is>
      </c>
      <c r="AE216" s="2" t="inlineStr">
        <is>
          <t>Chronology spans BCE and CE.</t>
        </is>
      </c>
      <c r="AF216" s="2" t="inlineStr">
        <is>
          <t>Sacred geometry; exchange networks</t>
        </is>
      </c>
      <c r="AG216" s="2" t="inlineStr">
        <is>
          <t>High</t>
        </is>
      </c>
      <c r="AH216" s="2" t="inlineStr">
        <is>
          <t>Medium</t>
        </is>
      </c>
      <c r="AI216" s="2" t="inlineStr"/>
      <c r="AJ216" t="inlineStr">
        <is>
          <t>https://whc.unesco.org/en/search/?searchterm=Hopewell+earthworks+UNESCO</t>
        </is>
      </c>
      <c r="AK216" t="inlineStr">
        <is>
          <t>https://archive.org/search?query=Hopewell+earthworks+UNESCO</t>
        </is>
      </c>
      <c r="AL216" t="inlineStr">
        <is>
          <t>https://www.si.edu/collection/search?edan_q=Hopewell+earthworks+UNESCO</t>
        </is>
      </c>
      <c r="AM216" t="inlineStr">
        <is>
          <t>https://whc.unesco.org/en/search/?searchterm=Hopewell+earthworks+UNESCO</t>
        </is>
      </c>
      <c r="AN216" t="inlineStr">
        <is>
          <t>https://whc.unesco.org/en/search/?searchterm=Hopewell+earthworks+UNESCO</t>
        </is>
      </c>
      <c r="AO216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16" t="inlineStr">
        <is>
          <t>Mixed: direct portal homepages plus search-result URLs where the portal exposes a public search endpoint.</t>
        </is>
      </c>
    </row>
    <row r="217">
      <c r="A217" s="2" t="n">
        <v>216</v>
      </c>
      <c r="B217" s="9" t="inlineStr">
        <is>
          <t>Later_witness_or_post_1AD_relevance</t>
        </is>
      </c>
      <c r="C217" s="2" t="inlineStr">
        <is>
          <t>North America / Oceania</t>
        </is>
      </c>
      <c r="D217" s="2" t="inlineStr">
        <is>
          <t>North American and Oceanian traditions</t>
        </is>
      </c>
      <c r="E217" s="2" t="n">
        <v>-300</v>
      </c>
      <c r="F217" s="2" t="n">
        <v>1200</v>
      </c>
      <c r="G217" s="2" t="inlineStr">
        <is>
          <t>c. 300 BCE to 1200 CE</t>
        </is>
      </c>
      <c r="H217" s="2" t="inlineStr">
        <is>
          <t>Serpent Mound tradition</t>
        </is>
      </c>
      <c r="I217" s="2" t="inlineStr">
        <is>
          <t>Landscape / later witness</t>
        </is>
      </c>
      <c r="J217" s="2" t="inlineStr">
        <is>
          <t>Archaeology</t>
        </is>
      </c>
      <c r="K217" s="2" t="inlineStr">
        <is>
          <t>Effigy mound</t>
        </is>
      </c>
      <c r="L217" s="2" t="inlineStr">
        <is>
          <t>Sky/land symbolism</t>
        </is>
      </c>
      <c r="M217" s="2" t="inlineStr">
        <is>
          <t>USA</t>
        </is>
      </c>
      <c r="N217" s="2" t="inlineStr">
        <is>
          <t>Ohio Valley</t>
        </is>
      </c>
      <c r="O217" s="2" t="inlineStr">
        <is>
          <t>Serpent-shaped earthwork commonly linked to celestial interpretations.</t>
        </is>
      </c>
      <c r="P217" s="2" t="inlineStr">
        <is>
          <t>Frequently appears in alternative-history discourse.</t>
        </is>
      </c>
      <c r="Q217" s="2" t="inlineStr">
        <is>
          <t>High</t>
        </is>
      </c>
      <c r="R217" s="2" t="inlineStr">
        <is>
          <t>Not applicable</t>
        </is>
      </c>
      <c r="S217" s="2" t="inlineStr">
        <is>
          <t>High</t>
        </is>
      </c>
      <c r="T217" s="2" t="inlineStr">
        <is>
          <t>UNESCO</t>
        </is>
      </c>
      <c r="U217" s="8" t="inlineStr">
        <is>
          <t>https://whc.unesco.org/</t>
        </is>
      </c>
      <c r="V217" s="2" t="inlineStr">
        <is>
          <t>Internet Archive</t>
        </is>
      </c>
      <c r="W217" s="8" t="inlineStr">
        <is>
          <t>https://archive.org/</t>
        </is>
      </c>
      <c r="X217" s="2" t="inlineStr">
        <is>
          <t>Smithsonian Open Access</t>
        </is>
      </c>
      <c r="Y217" s="8" t="inlineStr">
        <is>
          <t>https://www.si.edu/openaccess</t>
        </is>
      </c>
      <c r="Z217" s="2" t="inlineStr">
        <is>
          <t>UNESCO</t>
        </is>
      </c>
      <c r="AA217" s="8" t="inlineStr">
        <is>
          <t>https://whc.unesco.org/</t>
        </is>
      </c>
      <c r="AB217" s="2" t="inlineStr">
        <is>
          <t>UNESCO</t>
        </is>
      </c>
      <c r="AC217" s="8" t="inlineStr">
        <is>
          <t>https://whc.unesco.org/</t>
        </is>
      </c>
      <c r="AD217" s="2" t="inlineStr">
        <is>
          <t>Serpent Mound</t>
        </is>
      </c>
      <c r="AE217" s="2" t="inlineStr">
        <is>
          <t>Dating remains debated across repair and construction phases.</t>
        </is>
      </c>
      <c r="AF217" s="2" t="inlineStr">
        <is>
          <t>Serpent symbolism; landscape ritual</t>
        </is>
      </c>
      <c r="AG217" s="2" t="inlineStr">
        <is>
          <t>High</t>
        </is>
      </c>
      <c r="AH217" s="2" t="inlineStr">
        <is>
          <t>High</t>
        </is>
      </c>
      <c r="AI217" s="2" t="inlineStr"/>
      <c r="AJ217" t="inlineStr">
        <is>
          <t>https://whc.unesco.org/en/search/?searchterm=Serpent+Mound</t>
        </is>
      </c>
      <c r="AK217" t="inlineStr">
        <is>
          <t>https://archive.org/search?query=Serpent+Mound</t>
        </is>
      </c>
      <c r="AL217" t="inlineStr">
        <is>
          <t>https://www.si.edu/collection/search?edan_q=Serpent+Mound</t>
        </is>
      </c>
      <c r="AM217" t="inlineStr">
        <is>
          <t>https://whc.unesco.org/en/search/?searchterm=Serpent+Mound</t>
        </is>
      </c>
      <c r="AN217" t="inlineStr">
        <is>
          <t>https://whc.unesco.org/en/search/?searchterm=Serpent+Mound</t>
        </is>
      </c>
      <c r="AO217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17" t="inlineStr">
        <is>
          <t>Mixed: direct portal homepages plus search-result URLs where the portal exposes a public search endpoint.</t>
        </is>
      </c>
    </row>
    <row r="218">
      <c r="A218" s="2" t="n">
        <v>217</v>
      </c>
      <c r="B218" s="7" t="inlineStr">
        <is>
          <t>BCE_to_1AD</t>
        </is>
      </c>
      <c r="C218" s="2" t="inlineStr">
        <is>
          <t>North America / Oceania</t>
        </is>
      </c>
      <c r="D218" s="2" t="inlineStr">
        <is>
          <t>North American and Oceanian traditions</t>
        </is>
      </c>
      <c r="E218" s="2" t="n">
        <v>-60000</v>
      </c>
      <c r="F218" s="2" t="n">
        <v>-30000</v>
      </c>
      <c r="G218" s="2" t="inlineStr">
        <is>
          <t>c. 60000 BCE to 30000 BCE</t>
        </is>
      </c>
      <c r="H218" s="2" t="inlineStr">
        <is>
          <t>Australian Aboriginal Dreaming / Songlines</t>
        </is>
      </c>
      <c r="I218" s="2" t="inlineStr">
        <is>
          <t>Oral tradition</t>
        </is>
      </c>
      <c r="J218" s="2" t="inlineStr">
        <is>
          <t>Later recordings of deep-time oral traditions</t>
        </is>
      </c>
      <c r="K218" s="2" t="inlineStr">
        <is>
          <t>Creation</t>
        </is>
      </c>
      <c r="L218" s="2" t="inlineStr">
        <is>
          <t>Sacred geography</t>
        </is>
      </c>
      <c r="M218" s="2" t="inlineStr">
        <is>
          <t>Australia</t>
        </is>
      </c>
      <c r="N218" s="2" t="inlineStr">
        <is>
          <t>Multiple nations and language groups</t>
        </is>
      </c>
      <c r="O218" s="2" t="inlineStr">
        <is>
          <t>Extensive oral traditions tying country, law, ancestry, and creation to landscape pathways.</t>
        </is>
      </c>
      <c r="P218" s="2" t="inlineStr">
        <is>
          <t>Essential for any global prehistory project that respects non-textual memory systems.</t>
        </is>
      </c>
      <c r="Q218" s="2" t="inlineStr">
        <is>
          <t>High</t>
        </is>
      </c>
      <c r="R218" s="2" t="inlineStr">
        <is>
          <t>Partial</t>
        </is>
      </c>
      <c r="S218" s="2" t="inlineStr">
        <is>
          <t>Low</t>
        </is>
      </c>
      <c r="T218" s="2" t="inlineStr">
        <is>
          <t>UNESCO</t>
        </is>
      </c>
      <c r="U218" s="8" t="inlineStr">
        <is>
          <t>https://whc.unesco.org/</t>
        </is>
      </c>
      <c r="V218" s="2" t="inlineStr">
        <is>
          <t>Internet Archive</t>
        </is>
      </c>
      <c r="W218" s="8" t="inlineStr">
        <is>
          <t>https://archive.org/</t>
        </is>
      </c>
      <c r="X218" s="2" t="inlineStr">
        <is>
          <t>Smithsonian Open Access</t>
        </is>
      </c>
      <c r="Y218" s="8" t="inlineStr">
        <is>
          <t>https://www.si.edu/openaccess</t>
        </is>
      </c>
      <c r="Z218" s="2" t="inlineStr">
        <is>
          <t>UNESCO</t>
        </is>
      </c>
      <c r="AA218" s="8" t="inlineStr">
        <is>
          <t>https://whc.unesco.org/</t>
        </is>
      </c>
      <c r="AB218" s="2" t="inlineStr">
        <is>
          <t>UNESCO</t>
        </is>
      </c>
      <c r="AC218" s="8" t="inlineStr">
        <is>
          <t>https://whc.unesco.org/</t>
        </is>
      </c>
      <c r="AD218" s="2" t="inlineStr">
        <is>
          <t>AIATSIS Dreaming songlines</t>
        </is>
      </c>
      <c r="AE218" s="2" t="inlineStr">
        <is>
          <t>Recorded much later than the age of the traditions.</t>
        </is>
      </c>
      <c r="AF218" s="2" t="inlineStr">
        <is>
          <t>Creation paths; ancestor beings; map-memory</t>
        </is>
      </c>
      <c r="AG218" s="2" t="inlineStr">
        <is>
          <t>Critical</t>
        </is>
      </c>
      <c r="AH218" s="2" t="inlineStr">
        <is>
          <t>High</t>
        </is>
      </c>
      <c r="AI218" s="2" t="inlineStr"/>
      <c r="AJ218" t="inlineStr">
        <is>
          <t>https://whc.unesco.org/en/search/?searchterm=AIATSIS+Dreaming+songlines</t>
        </is>
      </c>
      <c r="AK218" t="inlineStr">
        <is>
          <t>https://archive.org/search?query=AIATSIS+Dreaming+songlines</t>
        </is>
      </c>
      <c r="AL218" t="inlineStr">
        <is>
          <t>https://www.si.edu/collection/search?edan_q=AIATSIS+Dreaming+songlines</t>
        </is>
      </c>
      <c r="AM218" t="inlineStr">
        <is>
          <t>https://whc.unesco.org/en/search/?searchterm=AIATSIS+Dreaming+songlines</t>
        </is>
      </c>
      <c r="AN218" t="inlineStr">
        <is>
          <t>https://whc.unesco.org/en/search/?searchterm=AIATSIS+Dreaming+songlines</t>
        </is>
      </c>
      <c r="AO218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18" t="inlineStr">
        <is>
          <t>Mixed: direct portal homepages plus search-result URLs where the portal exposes a public search endpoint.</t>
        </is>
      </c>
    </row>
    <row r="219">
      <c r="A219" s="2" t="n">
        <v>218</v>
      </c>
      <c r="B219" s="7" t="inlineStr">
        <is>
          <t>BCE_to_1AD</t>
        </is>
      </c>
      <c r="C219" s="2" t="inlineStr">
        <is>
          <t>North America / Oceania</t>
        </is>
      </c>
      <c r="D219" s="2" t="inlineStr">
        <is>
          <t>North American and Oceanian traditions</t>
        </is>
      </c>
      <c r="E219" s="2" t="n">
        <v>-17000</v>
      </c>
      <c r="F219" s="2" t="n">
        <v>-1000</v>
      </c>
      <c r="G219" s="2" t="inlineStr">
        <is>
          <t>c. 17000 BCE to 1000 BCE</t>
        </is>
      </c>
      <c r="H219" s="2" t="inlineStr">
        <is>
          <t>Wandjina traditions</t>
        </is>
      </c>
      <c r="I219" s="2" t="inlineStr">
        <is>
          <t>Oral tradition / rock art corpus</t>
        </is>
      </c>
      <c r="J219" s="2" t="inlineStr">
        <is>
          <t>Later recordings + rock art</t>
        </is>
      </c>
      <c r="K219" s="2" t="inlineStr">
        <is>
          <t>Sky beings</t>
        </is>
      </c>
      <c r="L219" s="2" t="inlineStr">
        <is>
          <t>Rain and law</t>
        </is>
      </c>
      <c r="M219" s="2" t="inlineStr">
        <is>
          <t>Australia</t>
        </is>
      </c>
      <c r="N219" s="2" t="inlineStr">
        <is>
          <t>Kimberley</t>
        </is>
      </c>
      <c r="O219" s="2" t="inlineStr">
        <is>
          <t>Rock-art and oral-traditional complex centered on Wandjina beings.</t>
        </is>
      </c>
      <c r="P219" s="2" t="inlineStr">
        <is>
          <t>Frequently used in ancient-astronaut reinterpretations.</t>
        </is>
      </c>
      <c r="Q219" s="2" t="inlineStr">
        <is>
          <t>High</t>
        </is>
      </c>
      <c r="R219" s="2" t="inlineStr">
        <is>
          <t>Partial</t>
        </is>
      </c>
      <c r="S219" s="2" t="inlineStr">
        <is>
          <t>High</t>
        </is>
      </c>
      <c r="T219" s="2" t="inlineStr">
        <is>
          <t>UNESCO</t>
        </is>
      </c>
      <c r="U219" s="8" t="inlineStr">
        <is>
          <t>https://whc.unesco.org/</t>
        </is>
      </c>
      <c r="V219" s="2" t="inlineStr">
        <is>
          <t>Internet Archive</t>
        </is>
      </c>
      <c r="W219" s="8" t="inlineStr">
        <is>
          <t>https://archive.org/</t>
        </is>
      </c>
      <c r="X219" s="2" t="inlineStr">
        <is>
          <t>Smithsonian Open Access</t>
        </is>
      </c>
      <c r="Y219" s="8" t="inlineStr">
        <is>
          <t>https://www.si.edu/openaccess</t>
        </is>
      </c>
      <c r="Z219" s="2" t="inlineStr">
        <is>
          <t>UNESCO</t>
        </is>
      </c>
      <c r="AA219" s="8" t="inlineStr">
        <is>
          <t>https://whc.unesco.org/</t>
        </is>
      </c>
      <c r="AB219" s="2" t="inlineStr">
        <is>
          <t>UNESCO</t>
        </is>
      </c>
      <c r="AC219" s="8" t="inlineStr">
        <is>
          <t>https://whc.unesco.org/</t>
        </is>
      </c>
      <c r="AD219" s="2" t="inlineStr">
        <is>
          <t>Wandjina rock art</t>
        </is>
      </c>
      <c r="AE219" s="2" t="inlineStr">
        <is>
          <t>Community-based interpretation should come first.</t>
        </is>
      </c>
      <c r="AF219" s="2" t="inlineStr">
        <is>
          <t>Sky beings; rock art; law</t>
        </is>
      </c>
      <c r="AG219" s="2" t="inlineStr">
        <is>
          <t>High</t>
        </is>
      </c>
      <c r="AH219" s="2" t="inlineStr">
        <is>
          <t>High</t>
        </is>
      </c>
      <c r="AI219" s="2" t="inlineStr"/>
      <c r="AJ219" t="inlineStr">
        <is>
          <t>https://whc.unesco.org/en/search/?searchterm=Wandjina+rock+art</t>
        </is>
      </c>
      <c r="AK219" t="inlineStr">
        <is>
          <t>https://archive.org/search?query=Wandjina+rock+art</t>
        </is>
      </c>
      <c r="AL219" t="inlineStr">
        <is>
          <t>https://www.si.edu/collection/search?edan_q=Wandjina+rock+art</t>
        </is>
      </c>
      <c r="AM219" t="inlineStr">
        <is>
          <t>https://whc.unesco.org/en/search/?searchterm=Wandjina+rock+art</t>
        </is>
      </c>
      <c r="AN219" t="inlineStr">
        <is>
          <t>https://whc.unesco.org/en/search/?searchterm=Wandjina+rock+art</t>
        </is>
      </c>
      <c r="AO219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19" t="inlineStr">
        <is>
          <t>Mixed: direct portal homepages plus search-result URLs where the portal exposes a public search endpoint.</t>
        </is>
      </c>
    </row>
    <row r="220">
      <c r="A220" s="2" t="n">
        <v>219</v>
      </c>
      <c r="B220" s="7" t="inlineStr">
        <is>
          <t>BCE_to_1AD</t>
        </is>
      </c>
      <c r="C220" s="2" t="inlineStr">
        <is>
          <t>North America / Oceania</t>
        </is>
      </c>
      <c r="D220" s="2" t="inlineStr">
        <is>
          <t>North American and Oceanian traditions</t>
        </is>
      </c>
      <c r="E220" s="2" t="n">
        <v>-20000</v>
      </c>
      <c r="F220" s="2" t="n">
        <v>-1000</v>
      </c>
      <c r="G220" s="2" t="inlineStr">
        <is>
          <t>c. 20000 BCE to 1000 BCE</t>
        </is>
      </c>
      <c r="H220" s="2" t="inlineStr">
        <is>
          <t>Gwion Gwion / Bradshaw rock art</t>
        </is>
      </c>
      <c r="I220" s="2" t="inlineStr">
        <is>
          <t>Artifact corpus</t>
        </is>
      </c>
      <c r="J220" s="2" t="inlineStr">
        <is>
          <t>Rock art</t>
        </is>
      </c>
      <c r="K220" s="2" t="inlineStr">
        <is>
          <t>Human figures</t>
        </is>
      </c>
      <c r="L220" s="2" t="inlineStr">
        <is>
          <t>Visual memory</t>
        </is>
      </c>
      <c r="M220" s="2" t="inlineStr">
        <is>
          <t>Australia</t>
        </is>
      </c>
      <c r="N220" s="2" t="inlineStr">
        <is>
          <t>Kimberley</t>
        </is>
      </c>
      <c r="O220" s="2" t="inlineStr">
        <is>
          <t>Ancient painted figures with contested chronology and interpretation.</t>
        </is>
      </c>
      <c r="P220" s="2" t="inlineStr">
        <is>
          <t>Image-rich case often used in speculative storytelling.</t>
        </is>
      </c>
      <c r="Q220" s="2" t="inlineStr">
        <is>
          <t>Medium</t>
        </is>
      </c>
      <c r="R220" s="2" t="inlineStr">
        <is>
          <t>Not applicable</t>
        </is>
      </c>
      <c r="S220" s="2" t="inlineStr">
        <is>
          <t>High</t>
        </is>
      </c>
      <c r="T220" s="2" t="inlineStr">
        <is>
          <t>UNESCO</t>
        </is>
      </c>
      <c r="U220" s="8" t="inlineStr">
        <is>
          <t>https://whc.unesco.org/</t>
        </is>
      </c>
      <c r="V220" s="2" t="inlineStr">
        <is>
          <t>Internet Archive</t>
        </is>
      </c>
      <c r="W220" s="8" t="inlineStr">
        <is>
          <t>https://archive.org/</t>
        </is>
      </c>
      <c r="X220" s="2" t="inlineStr">
        <is>
          <t>Smithsonian Open Access</t>
        </is>
      </c>
      <c r="Y220" s="8" t="inlineStr">
        <is>
          <t>https://www.si.edu/openaccess</t>
        </is>
      </c>
      <c r="Z220" s="2" t="inlineStr">
        <is>
          <t>UNESCO</t>
        </is>
      </c>
      <c r="AA220" s="8" t="inlineStr">
        <is>
          <t>https://whc.unesco.org/</t>
        </is>
      </c>
      <c r="AB220" s="2" t="inlineStr">
        <is>
          <t>UNESCO</t>
        </is>
      </c>
      <c r="AC220" s="8" t="inlineStr">
        <is>
          <t>https://whc.unesco.org/</t>
        </is>
      </c>
      <c r="AD220" s="2" t="inlineStr">
        <is>
          <t>Gwion Gwion rock art</t>
        </is>
      </c>
      <c r="AE220" s="2" t="inlineStr">
        <is>
          <t>Dating and cultural attribution are complex.</t>
        </is>
      </c>
      <c r="AF220" s="2" t="inlineStr">
        <is>
          <t>Rock art; deep time</t>
        </is>
      </c>
      <c r="AG220" s="2" t="inlineStr">
        <is>
          <t>Medium</t>
        </is>
      </c>
      <c r="AH220" s="2" t="inlineStr">
        <is>
          <t>Medium</t>
        </is>
      </c>
      <c r="AI220" s="2" t="inlineStr"/>
      <c r="AJ220" t="inlineStr">
        <is>
          <t>https://whc.unesco.org/en/search/?searchterm=Gwion+Gwion+rock+art</t>
        </is>
      </c>
      <c r="AK220" t="inlineStr">
        <is>
          <t>https://archive.org/search?query=Gwion+Gwion+rock+art</t>
        </is>
      </c>
      <c r="AL220" t="inlineStr">
        <is>
          <t>https://www.si.edu/collection/search?edan_q=Gwion+Gwion+rock+art</t>
        </is>
      </c>
      <c r="AM220" t="inlineStr">
        <is>
          <t>https://whc.unesco.org/en/search/?searchterm=Gwion+Gwion+rock+art</t>
        </is>
      </c>
      <c r="AN220" t="inlineStr">
        <is>
          <t>https://whc.unesco.org/en/search/?searchterm=Gwion+Gwion+rock+art</t>
        </is>
      </c>
      <c r="AO220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20" t="inlineStr">
        <is>
          <t>Mixed: direct portal homepages plus search-result URLs where the portal exposes a public search endpoint.</t>
        </is>
      </c>
    </row>
    <row r="221">
      <c r="A221" s="2" t="n">
        <v>220</v>
      </c>
      <c r="B221" s="9" t="inlineStr">
        <is>
          <t>Later_witness_or_post_1AD_relevance</t>
        </is>
      </c>
      <c r="C221" s="2" t="inlineStr">
        <is>
          <t>North America / Oceania</t>
        </is>
      </c>
      <c r="D221" s="2" t="inlineStr">
        <is>
          <t>North American and Oceanian traditions</t>
        </is>
      </c>
      <c r="E221" s="2" t="n">
        <v>-500</v>
      </c>
      <c r="F221" s="2" t="n">
        <v>1600</v>
      </c>
      <c r="G221" s="2" t="inlineStr">
        <is>
          <t>c. 500 BCE to 1600 CE</t>
        </is>
      </c>
      <c r="H221" s="2" t="inlineStr">
        <is>
          <t>Rapa Nui / moai tradition</t>
        </is>
      </c>
      <c r="I221" s="2" t="inlineStr">
        <is>
          <t>Site / later witness</t>
        </is>
      </c>
      <c r="J221" s="2" t="inlineStr">
        <is>
          <t>Archaeology + oral tradition</t>
        </is>
      </c>
      <c r="K221" s="2" t="inlineStr">
        <is>
          <t>Ancestor monuments</t>
        </is>
      </c>
      <c r="L221" s="2" t="inlineStr">
        <is>
          <t>Island civilization</t>
        </is>
      </c>
      <c r="M221" s="2" t="inlineStr">
        <is>
          <t>Chile</t>
        </is>
      </c>
      <c r="N221" s="2" t="inlineStr">
        <is>
          <t>Easter Island / Rapa Nui</t>
        </is>
      </c>
      <c r="O221" s="2" t="inlineStr">
        <is>
          <t>Stone-moai and oral histories of an isolated island society.</t>
        </is>
      </c>
      <c r="P221" s="2" t="inlineStr">
        <is>
          <t>Outside BCE core frame but heavily cited in lost-civilization media.</t>
        </is>
      </c>
      <c r="Q221" s="2" t="inlineStr">
        <is>
          <t>High</t>
        </is>
      </c>
      <c r="R221" s="2" t="inlineStr">
        <is>
          <t>Partial</t>
        </is>
      </c>
      <c r="S221" s="2" t="inlineStr">
        <is>
          <t>High</t>
        </is>
      </c>
      <c r="T221" s="2" t="inlineStr">
        <is>
          <t>UNESCO</t>
        </is>
      </c>
      <c r="U221" s="8" t="inlineStr">
        <is>
          <t>https://whc.unesco.org/</t>
        </is>
      </c>
      <c r="V221" s="2" t="inlineStr">
        <is>
          <t>Internet Archive</t>
        </is>
      </c>
      <c r="W221" s="8" t="inlineStr">
        <is>
          <t>https://archive.org/</t>
        </is>
      </c>
      <c r="X221" s="2" t="inlineStr">
        <is>
          <t>Smithsonian Open Access</t>
        </is>
      </c>
      <c r="Y221" s="8" t="inlineStr">
        <is>
          <t>https://www.si.edu/openaccess</t>
        </is>
      </c>
      <c r="Z221" s="2" t="inlineStr">
        <is>
          <t>UNESCO</t>
        </is>
      </c>
      <c r="AA221" s="8" t="inlineStr">
        <is>
          <t>https://whc.unesco.org/</t>
        </is>
      </c>
      <c r="AB221" s="2" t="inlineStr">
        <is>
          <t>UNESCO</t>
        </is>
      </c>
      <c r="AC221" s="8" t="inlineStr">
        <is>
          <t>https://whc.unesco.org/</t>
        </is>
      </c>
      <c r="AD221" s="2" t="inlineStr">
        <is>
          <t>Rapa Nui UNESCO</t>
        </is>
      </c>
      <c r="AE221" s="2" t="inlineStr">
        <is>
          <t>Primarily later than 1 AD.</t>
        </is>
      </c>
      <c r="AF221" s="2" t="inlineStr">
        <is>
          <t>Ancestor monuments; island collapse narratives</t>
        </is>
      </c>
      <c r="AG221" s="2" t="inlineStr">
        <is>
          <t>High</t>
        </is>
      </c>
      <c r="AH221" s="2" t="inlineStr">
        <is>
          <t>High</t>
        </is>
      </c>
      <c r="AI221" s="2" t="inlineStr"/>
      <c r="AJ221" t="inlineStr">
        <is>
          <t>https://whc.unesco.org/en/search/?searchterm=Rapa+Nui+UNESCO</t>
        </is>
      </c>
      <c r="AK221" t="inlineStr">
        <is>
          <t>https://archive.org/search?query=Rapa+Nui+UNESCO</t>
        </is>
      </c>
      <c r="AL221" t="inlineStr">
        <is>
          <t>https://www.si.edu/collection/search?edan_q=Rapa+Nui+UNESCO</t>
        </is>
      </c>
      <c r="AM221" t="inlineStr">
        <is>
          <t>https://whc.unesco.org/en/search/?searchterm=Rapa+Nui+UNESCO</t>
        </is>
      </c>
      <c r="AN221" t="inlineStr">
        <is>
          <t>https://whc.unesco.org/en/search/?searchterm=Rapa+Nui+UNESCO</t>
        </is>
      </c>
      <c r="AO221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21" t="inlineStr">
        <is>
          <t>Mixed: direct portal homepages plus search-result URLs where the portal exposes a public search endpoint.</t>
        </is>
      </c>
    </row>
    <row r="222">
      <c r="A222" s="2" t="n">
        <v>221</v>
      </c>
      <c r="B222" s="9" t="inlineStr">
        <is>
          <t>Later_witness_or_post_1AD_relevance</t>
        </is>
      </c>
      <c r="C222" s="2" t="inlineStr">
        <is>
          <t>North America / Oceania</t>
        </is>
      </c>
      <c r="D222" s="2" t="inlineStr">
        <is>
          <t>North American and Oceanian traditions</t>
        </is>
      </c>
      <c r="E222" s="2" t="n">
        <v>-200</v>
      </c>
      <c r="F222" s="2" t="n">
        <v>1600</v>
      </c>
      <c r="G222" s="2" t="inlineStr">
        <is>
          <t>c. 200 BCE to 1600 CE</t>
        </is>
      </c>
      <c r="H222" s="2" t="inlineStr">
        <is>
          <t>Nan Madol</t>
        </is>
      </c>
      <c r="I222" s="2" t="inlineStr">
        <is>
          <t>Site / later witness</t>
        </is>
      </c>
      <c r="J222" s="2" t="inlineStr">
        <is>
          <t>Archaeology + oral tradition</t>
        </is>
      </c>
      <c r="K222" s="2" t="inlineStr">
        <is>
          <t>Megaliths</t>
        </is>
      </c>
      <c r="L222" s="2" t="inlineStr">
        <is>
          <t>Island polity</t>
        </is>
      </c>
      <c r="M222" s="2" t="inlineStr">
        <is>
          <t>Micronesia</t>
        </is>
      </c>
      <c r="N222" s="2" t="inlineStr">
        <is>
          <t>Pohnpei</t>
        </is>
      </c>
      <c r="O222" s="2" t="inlineStr">
        <is>
          <t>Monumental basalt architecture on artificial islets.</t>
        </is>
      </c>
      <c r="P222" s="2" t="inlineStr">
        <is>
          <t>Outside BCE core frame but central to diffusion and lost-civilization speculation.</t>
        </is>
      </c>
      <c r="Q222" s="2" t="inlineStr">
        <is>
          <t>High</t>
        </is>
      </c>
      <c r="R222" s="2" t="inlineStr">
        <is>
          <t>Not applicable</t>
        </is>
      </c>
      <c r="S222" s="2" t="inlineStr">
        <is>
          <t>High</t>
        </is>
      </c>
      <c r="T222" s="2" t="inlineStr">
        <is>
          <t>UNESCO</t>
        </is>
      </c>
      <c r="U222" s="8" t="inlineStr">
        <is>
          <t>https://whc.unesco.org/</t>
        </is>
      </c>
      <c r="V222" s="2" t="inlineStr">
        <is>
          <t>Internet Archive</t>
        </is>
      </c>
      <c r="W222" s="8" t="inlineStr">
        <is>
          <t>https://archive.org/</t>
        </is>
      </c>
      <c r="X222" s="2" t="inlineStr">
        <is>
          <t>Smithsonian Open Access</t>
        </is>
      </c>
      <c r="Y222" s="8" t="inlineStr">
        <is>
          <t>https://www.si.edu/openaccess</t>
        </is>
      </c>
      <c r="Z222" s="2" t="inlineStr">
        <is>
          <t>UNESCO</t>
        </is>
      </c>
      <c r="AA222" s="8" t="inlineStr">
        <is>
          <t>https://whc.unesco.org/</t>
        </is>
      </c>
      <c r="AB222" s="2" t="inlineStr">
        <is>
          <t>UNESCO</t>
        </is>
      </c>
      <c r="AC222" s="8" t="inlineStr">
        <is>
          <t>https://whc.unesco.org/</t>
        </is>
      </c>
      <c r="AD222" s="2" t="inlineStr">
        <is>
          <t>Nan Madol UNESCO</t>
        </is>
      </c>
      <c r="AE222" s="2" t="inlineStr">
        <is>
          <t>Main florescence is post-1 AD.</t>
        </is>
      </c>
      <c r="AF222" s="2" t="inlineStr">
        <is>
          <t>Island engineering; megaliths</t>
        </is>
      </c>
      <c r="AG222" s="2" t="inlineStr">
        <is>
          <t>High</t>
        </is>
      </c>
      <c r="AH222" s="2" t="inlineStr">
        <is>
          <t>High</t>
        </is>
      </c>
      <c r="AI222" s="2" t="inlineStr"/>
      <c r="AJ222" t="inlineStr">
        <is>
          <t>https://whc.unesco.org/en/search/?searchterm=Nan+Madol+UNESCO</t>
        </is>
      </c>
      <c r="AK222" t="inlineStr">
        <is>
          <t>https://archive.org/search?query=Nan+Madol+UNESCO</t>
        </is>
      </c>
      <c r="AL222" t="inlineStr">
        <is>
          <t>https://www.si.edu/collection/search?edan_q=Nan+Madol+UNESCO</t>
        </is>
      </c>
      <c r="AM222" t="inlineStr">
        <is>
          <t>https://whc.unesco.org/en/search/?searchterm=Nan+Madol+UNESCO</t>
        </is>
      </c>
      <c r="AN222" t="inlineStr">
        <is>
          <t>https://whc.unesco.org/en/search/?searchterm=Nan+Madol+UNESCO</t>
        </is>
      </c>
      <c r="AO222" t="inlineStr">
        <is>
          <t>1) Fact base: UNESCO. 2) Translation/text: Internet Archive. 3) Images/objects: Smithsonian Open Access. 4) Context/explanation: UNESCO. 5) Geography/maps: UNESCO. Use Suggested_Search_Term inside each portal.</t>
        </is>
      </c>
      <c r="AP222" t="inlineStr">
        <is>
          <t>Mixed: direct portal homepages plus search-result URLs where the portal exposes a public search endpoint.</t>
        </is>
      </c>
    </row>
    <row r="223">
      <c r="A223" s="2" t="n">
        <v>222</v>
      </c>
      <c r="B223" s="7" t="inlineStr">
        <is>
          <t>BCE_to_1AD</t>
        </is>
      </c>
      <c r="C223" s="2" t="inlineStr">
        <is>
          <t>Prehistory / Neolithic</t>
        </is>
      </c>
      <c r="D223" s="2" t="inlineStr">
        <is>
          <t>Pre-Pottery Neolithic Anatolia</t>
        </is>
      </c>
      <c r="E223" s="2" t="n">
        <v>-9500</v>
      </c>
      <c r="F223" s="2" t="n">
        <v>-8800</v>
      </c>
      <c r="G223" s="2" t="inlineStr">
        <is>
          <t>c. 9500-8800 BCE</t>
        </is>
      </c>
      <c r="H223" s="2" t="inlineStr">
        <is>
          <t>Nevali Cori</t>
        </is>
      </c>
      <c r="I223" s="2" t="inlineStr">
        <is>
          <t>Site</t>
        </is>
      </c>
      <c r="J223" s="2" t="inlineStr">
        <is>
          <t>architecture + sculpture</t>
        </is>
      </c>
      <c r="K223" s="2" t="inlineStr">
        <is>
          <t>ritual architecture</t>
        </is>
      </c>
      <c r="L223" s="2" t="inlineStr">
        <is>
          <t>anthropomorphic imagery</t>
        </is>
      </c>
      <c r="M223" s="2" t="inlineStr">
        <is>
          <t>Turkey</t>
        </is>
      </c>
      <c r="N223" s="2" t="inlineStr">
        <is>
          <t>Upper Euphrates</t>
        </is>
      </c>
      <c r="O223" s="2" t="inlineStr">
        <is>
          <t>Early Pre-Pottery Neolithic settlement with monumental architecture and carved stone figures.</t>
        </is>
      </c>
      <c r="P223" s="2" t="inlineStr">
        <is>
          <t>Comparator for Göbekli Tepe when tracing early ritual monumentality.</t>
        </is>
      </c>
      <c r="Q223" s="2" t="inlineStr">
        <is>
          <t>Medium</t>
        </is>
      </c>
      <c r="R223" s="2" t="inlineStr">
        <is>
          <t>No</t>
        </is>
      </c>
      <c r="S223" s="2" t="inlineStr">
        <is>
          <t>Yes</t>
        </is>
      </c>
      <c r="T223" s="2" t="inlineStr">
        <is>
          <t>UNESCO</t>
        </is>
      </c>
      <c r="U223" s="8" t="inlineStr">
        <is>
          <t>https://whc.unesco.org/</t>
        </is>
      </c>
      <c r="V223" s="2" t="inlineStr">
        <is>
          <t>UNESCO</t>
        </is>
      </c>
      <c r="W223" s="8" t="inlineStr">
        <is>
          <t>https://whc.unesco.org/</t>
        </is>
      </c>
      <c r="X223" s="2" t="inlineStr">
        <is>
          <t>Smithsonian Open Access</t>
        </is>
      </c>
      <c r="Y223" s="8" t="inlineStr">
        <is>
          <t>https://www.si.edu/openaccess</t>
        </is>
      </c>
      <c r="Z223" s="2" t="inlineStr">
        <is>
          <t>Open Context</t>
        </is>
      </c>
      <c r="AA223" s="8" t="inlineStr">
        <is>
          <t>https://opencontext.org/</t>
        </is>
      </c>
      <c r="AB223" s="2" t="inlineStr">
        <is>
          <t>UNESCO</t>
        </is>
      </c>
      <c r="AC223" s="8" t="inlineStr">
        <is>
          <t>https://whc.unesco.org/</t>
        </is>
      </c>
      <c r="AD223" s="2" t="inlineStr">
        <is>
          <t>Nevali Cori ritual sculpture</t>
        </is>
      </c>
      <c r="AE223" s="2" t="inlineStr">
        <is>
          <t>No native written corpus; use site reports and museum photography.</t>
        </is>
      </c>
      <c r="AF223" s="2" t="inlineStr">
        <is>
          <t>Göbekli Tepe; Karahan Tepe; Çatalhöyük</t>
        </is>
      </c>
      <c r="AG223" s="2" t="inlineStr">
        <is>
          <t>High</t>
        </is>
      </c>
      <c r="AH223" s="2" t="inlineStr">
        <is>
          <t>High</t>
        </is>
      </c>
      <c r="AI223" s="2" t="inlineStr"/>
      <c r="AJ223" t="inlineStr">
        <is>
          <t>https://whc.unesco.org/en/search/?searchterm=Nevali+Cori+ritual+sculpture</t>
        </is>
      </c>
      <c r="AK223" t="inlineStr">
        <is>
          <t>https://whc.unesco.org/en/search/?searchterm=Nevali+Cori+ritual+sculpture</t>
        </is>
      </c>
      <c r="AL223" t="inlineStr">
        <is>
          <t>https://www.si.edu/collection/search?edan_q=Nevali+Cori+ritual+sculpture</t>
        </is>
      </c>
      <c r="AM223" t="inlineStr">
        <is>
          <t>https://opencontext.org/</t>
        </is>
      </c>
      <c r="AN223" t="inlineStr">
        <is>
          <t>https://whc.unesco.org/en/search/?searchterm=Nevali+Cori+ritual+sculpture</t>
        </is>
      </c>
      <c r="AO223" t="inlineStr">
        <is>
          <t>1) Fact base: UNESCO. 2) Translation/text: UNESCO. 3) Images/objects: Smithsonian Open Access. 4) Context/explanation: Open Context. 5) Geography/maps: UNESCO. Use Suggested_Search_Term inside each portal.</t>
        </is>
      </c>
      <c r="AP223" t="inlineStr">
        <is>
          <t>Mixed: direct portal homepages plus search-result URLs where the portal exposes a public search endpoint.</t>
        </is>
      </c>
    </row>
    <row r="224">
      <c r="A224" s="2" t="n">
        <v>223</v>
      </c>
      <c r="B224" s="7" t="inlineStr">
        <is>
          <t>BCE_to_1AD</t>
        </is>
      </c>
      <c r="C224" s="2" t="inlineStr">
        <is>
          <t>Prehistory / Neolithic</t>
        </is>
      </c>
      <c r="D224" s="2" t="inlineStr">
        <is>
          <t>Pre-Pottery Neolithic Levant</t>
        </is>
      </c>
      <c r="E224" s="2" t="n">
        <v>-8500</v>
      </c>
      <c r="F224" s="2" t="n">
        <v>-7000</v>
      </c>
      <c r="G224" s="2" t="inlineStr">
        <is>
          <t>c. 8500-7000 BCE</t>
        </is>
      </c>
      <c r="H224" s="2" t="inlineStr">
        <is>
          <t>Jericho tower and early ritual landscape</t>
        </is>
      </c>
      <c r="I224" s="2" t="inlineStr">
        <is>
          <t>Site / architecture</t>
        </is>
      </c>
      <c r="J224" s="2" t="inlineStr">
        <is>
          <t>architecture</t>
        </is>
      </c>
      <c r="K224" s="2" t="inlineStr">
        <is>
          <t>monumentality</t>
        </is>
      </c>
      <c r="L224" s="2" t="inlineStr">
        <is>
          <t>community ritual</t>
        </is>
      </c>
      <c r="M224" s="2" t="inlineStr">
        <is>
          <t>West Bank</t>
        </is>
      </c>
      <c r="N224" s="2" t="inlineStr">
        <is>
          <t>Jericho</t>
        </is>
      </c>
      <c r="O224" s="2" t="inlineStr">
        <is>
          <t>Early settlement known for tower, walls, burials, and long stratigraphy into prehistory.</t>
        </is>
      </c>
      <c r="P224" s="2" t="inlineStr">
        <is>
          <t>Anchors early urban and ritual discussion before literate civilizations.</t>
        </is>
      </c>
      <c r="Q224" s="2" t="inlineStr">
        <is>
          <t>Medium</t>
        </is>
      </c>
      <c r="R224" s="2" t="inlineStr">
        <is>
          <t>No</t>
        </is>
      </c>
      <c r="S224" s="2" t="inlineStr">
        <is>
          <t>Yes</t>
        </is>
      </c>
      <c r="T224" s="2" t="inlineStr">
        <is>
          <t>UNESCO</t>
        </is>
      </c>
      <c r="U224" s="8" t="inlineStr">
        <is>
          <t>https://whc.unesco.org/</t>
        </is>
      </c>
      <c r="V224" s="2" t="inlineStr">
        <is>
          <t>UNESCO</t>
        </is>
      </c>
      <c r="W224" s="8" t="inlineStr">
        <is>
          <t>https://whc.unesco.org/</t>
        </is>
      </c>
      <c r="X224" s="2" t="inlineStr">
        <is>
          <t>British Museum Collection</t>
        </is>
      </c>
      <c r="Y224" s="8" t="inlineStr">
        <is>
          <t>https://www.britishmuseum.org/collection</t>
        </is>
      </c>
      <c r="Z224" s="2" t="inlineStr">
        <is>
          <t>Open Context</t>
        </is>
      </c>
      <c r="AA224" s="8" t="inlineStr">
        <is>
          <t>https://opencontext.org/</t>
        </is>
      </c>
      <c r="AB224" s="2" t="inlineStr">
        <is>
          <t>Pleiades</t>
        </is>
      </c>
      <c r="AC224" s="8" t="inlineStr">
        <is>
          <t>https://pleiades.stoa.org/</t>
        </is>
      </c>
      <c r="AD224" s="2" t="inlineStr">
        <is>
          <t>Jericho tower Neolithic</t>
        </is>
      </c>
      <c r="AE224" s="2" t="inlineStr">
        <is>
          <t>Archaeological context is the evidence base.</t>
        </is>
      </c>
      <c r="AF224" s="2" t="inlineStr">
        <is>
          <t>Göbekli Tepe; early Levantine ritual sites</t>
        </is>
      </c>
      <c r="AG224" s="2" t="inlineStr">
        <is>
          <t>High</t>
        </is>
      </c>
      <c r="AH224" s="2" t="inlineStr">
        <is>
          <t>Medium</t>
        </is>
      </c>
      <c r="AI224" s="2" t="inlineStr"/>
      <c r="AJ224" t="inlineStr">
        <is>
          <t>https://whc.unesco.org/en/search/?searchterm=Jericho+tower+Neolithic</t>
        </is>
      </c>
      <c r="AK224" t="inlineStr">
        <is>
          <t>https://whc.unesco.org/en/search/?searchterm=Jericho+tower+Neolithic</t>
        </is>
      </c>
      <c r="AL224" t="inlineStr">
        <is>
          <t>https://www.britishmuseum.org/collection/search?keyword=Jericho+tower+Neolithic</t>
        </is>
      </c>
      <c r="AM224" t="inlineStr">
        <is>
          <t>https://opencontext.org/</t>
        </is>
      </c>
      <c r="AN224" t="inlineStr">
        <is>
          <t>https://pleiades.stoa.org/search?SearchableText=Jericho+tower+Neolithic</t>
        </is>
      </c>
      <c r="AO224" t="inlineStr">
        <is>
          <t>1) Fact base: UNESCO. 2) Translation/text: UNESCO. 3) Images/objects: British Museum Collection. 4) Context/explanation: Open Context. 5) Geography/maps: Pleiades. Use Suggested_Search_Term inside each portal.</t>
        </is>
      </c>
      <c r="AP224" t="inlineStr">
        <is>
          <t>Mixed: direct portal homepages plus search-result URLs where the portal exposes a public search endpoint.</t>
        </is>
      </c>
    </row>
    <row r="225">
      <c r="A225" s="2" t="n">
        <v>224</v>
      </c>
      <c r="B225" s="7" t="inlineStr">
        <is>
          <t>BCE_to_1AD</t>
        </is>
      </c>
      <c r="C225" s="2" t="inlineStr">
        <is>
          <t>Prehistory / Neolithic</t>
        </is>
      </c>
      <c r="D225" s="2" t="inlineStr">
        <is>
          <t>Neolithic Ireland</t>
        </is>
      </c>
      <c r="E225" s="2" t="n">
        <v>-3200</v>
      </c>
      <c r="F225" s="2" t="n">
        <v>-2500</v>
      </c>
      <c r="G225" s="2" t="inlineStr">
        <is>
          <t>c. 3200-2500 BCE</t>
        </is>
      </c>
      <c r="H225" s="2" t="inlineStr">
        <is>
          <t>Newgrange</t>
        </is>
      </c>
      <c r="I225" s="2" t="inlineStr">
        <is>
          <t>Site</t>
        </is>
      </c>
      <c r="J225" s="2" t="inlineStr">
        <is>
          <t>architecture + rock art</t>
        </is>
      </c>
      <c r="K225" s="2" t="inlineStr">
        <is>
          <t>solar alignment</t>
        </is>
      </c>
      <c r="L225" s="2" t="inlineStr">
        <is>
          <t>afterlife / ritual</t>
        </is>
      </c>
      <c r="M225" s="2" t="inlineStr">
        <is>
          <t>Ireland</t>
        </is>
      </c>
      <c r="N225" s="2" t="inlineStr">
        <is>
          <t>Brú na Bóinne</t>
        </is>
      </c>
      <c r="O225" s="2" t="inlineStr">
        <is>
          <t>Passage tomb complex with megalithic art and winter-solstice illumination.</t>
        </is>
      </c>
      <c r="P225" s="2" t="inlineStr">
        <is>
          <t>Strong case for sky-knowledge discussion grounded in official site data.</t>
        </is>
      </c>
      <c r="Q225" s="2" t="inlineStr">
        <is>
          <t>High</t>
        </is>
      </c>
      <c r="R225" s="2" t="inlineStr">
        <is>
          <t>No</t>
        </is>
      </c>
      <c r="S225" s="2" t="inlineStr">
        <is>
          <t>Yes</t>
        </is>
      </c>
      <c r="T225" s="2" t="inlineStr">
        <is>
          <t>UNESCO</t>
        </is>
      </c>
      <c r="U225" s="8" t="inlineStr">
        <is>
          <t>https://whc.unesco.org/</t>
        </is>
      </c>
      <c r="V225" s="2" t="inlineStr">
        <is>
          <t>UNESCO</t>
        </is>
      </c>
      <c r="W225" s="8" t="inlineStr">
        <is>
          <t>https://whc.unesco.org/</t>
        </is>
      </c>
      <c r="X225" s="2" t="inlineStr">
        <is>
          <t>UNESCO</t>
        </is>
      </c>
      <c r="Y225" s="8" t="inlineStr">
        <is>
          <t>https://whc.unesco.org/</t>
        </is>
      </c>
      <c r="Z225" s="2" t="inlineStr">
        <is>
          <t>UNESCO</t>
        </is>
      </c>
      <c r="AA225" s="8" t="inlineStr">
        <is>
          <t>https://whc.unesco.org/</t>
        </is>
      </c>
      <c r="AB225" s="2" t="inlineStr">
        <is>
          <t>UNESCO</t>
        </is>
      </c>
      <c r="AC225" s="8" t="inlineStr">
        <is>
          <t>https://whc.unesco.org/</t>
        </is>
      </c>
      <c r="AD225" s="2" t="inlineStr">
        <is>
          <t>Newgrange winter solstice passage tomb</t>
        </is>
      </c>
      <c r="AE225" s="2" t="inlineStr">
        <is>
          <t>Textless prehistoric monument; compare architecture, art, and alignment data.</t>
        </is>
      </c>
      <c r="AF225" s="2" t="inlineStr">
        <is>
          <t>Stonehenge; Nabta Playa; Maya astronomy</t>
        </is>
      </c>
      <c r="AG225" s="2" t="inlineStr">
        <is>
          <t>High</t>
        </is>
      </c>
      <c r="AH225" s="2" t="inlineStr">
        <is>
          <t>High</t>
        </is>
      </c>
      <c r="AI225" s="2" t="inlineStr"/>
      <c r="AJ225" t="inlineStr">
        <is>
          <t>https://whc.unesco.org/en/search/?searchterm=Newgrange+winter+solstice+passage+tomb</t>
        </is>
      </c>
      <c r="AK225" t="inlineStr">
        <is>
          <t>https://whc.unesco.org/en/search/?searchterm=Newgrange+winter+solstice+passage+tomb</t>
        </is>
      </c>
      <c r="AL225" t="inlineStr">
        <is>
          <t>https://whc.unesco.org/en/search/?searchterm=Newgrange+winter+solstice+passage+tomb</t>
        </is>
      </c>
      <c r="AM225" t="inlineStr">
        <is>
          <t>https://whc.unesco.org/en/search/?searchterm=Newgrange+winter+solstice+passage+tomb</t>
        </is>
      </c>
      <c r="AN225" t="inlineStr">
        <is>
          <t>https://whc.unesco.org/en/search/?searchterm=Newgrange+winter+solstice+passage+tomb</t>
        </is>
      </c>
      <c r="AO225" t="inlineStr">
        <is>
          <t>1) Fact base: UNESCO. 2) Translation/text: UNESCO. 3) Images/objects: UNESCO. 4) Context/explanation: UNESCO. 5) Geography/maps: UNESCO. Use Suggested_Search_Term inside each portal.</t>
        </is>
      </c>
      <c r="AP225" t="inlineStr">
        <is>
          <t>Mixed: direct portal homepages plus search-result URLs where the portal exposes a public search endpoint.</t>
        </is>
      </c>
    </row>
    <row r="226">
      <c r="A226" s="2" t="n">
        <v>225</v>
      </c>
      <c r="B226" s="7" t="inlineStr">
        <is>
          <t>BCE_to_1AD</t>
        </is>
      </c>
      <c r="C226" s="2" t="inlineStr">
        <is>
          <t>Prehistory / Neolithic</t>
        </is>
      </c>
      <c r="D226" s="2" t="inlineStr">
        <is>
          <t>Neolithic Britain</t>
        </is>
      </c>
      <c r="E226" s="2" t="n">
        <v>-3000</v>
      </c>
      <c r="F226" s="2" t="n">
        <v>-2000</v>
      </c>
      <c r="G226" s="2" t="inlineStr">
        <is>
          <t>c. 3000-2000 BCE</t>
        </is>
      </c>
      <c r="H226" s="2" t="inlineStr">
        <is>
          <t>Stonehenge phase sequence</t>
        </is>
      </c>
      <c r="I226" s="2" t="inlineStr">
        <is>
          <t>Site</t>
        </is>
      </c>
      <c r="J226" s="2" t="inlineStr">
        <is>
          <t>architecture</t>
        </is>
      </c>
      <c r="K226" s="2" t="inlineStr">
        <is>
          <t>astronomy</t>
        </is>
      </c>
      <c r="L226" s="2" t="inlineStr">
        <is>
          <t>ritual landscape</t>
        </is>
      </c>
      <c r="M226" s="2" t="inlineStr">
        <is>
          <t>England</t>
        </is>
      </c>
      <c r="N226" s="2" t="inlineStr">
        <is>
          <t>Salisbury Plain</t>
        </is>
      </c>
      <c r="O226" s="2" t="inlineStr">
        <is>
          <t>Megalithic monument with multiple construction phases and extensive associated archaeology.</t>
        </is>
      </c>
      <c r="P226" s="2" t="inlineStr">
        <is>
          <t>Core case study for calendrical and ritual interpretations grounded in excavation and survey.</t>
        </is>
      </c>
      <c r="Q226" s="2" t="inlineStr">
        <is>
          <t>High</t>
        </is>
      </c>
      <c r="R226" s="2" t="inlineStr">
        <is>
          <t>No</t>
        </is>
      </c>
      <c r="S226" s="2" t="inlineStr">
        <is>
          <t>Yes</t>
        </is>
      </c>
      <c r="T226" s="2" t="inlineStr">
        <is>
          <t>UNESCO</t>
        </is>
      </c>
      <c r="U226" s="8" t="inlineStr">
        <is>
          <t>https://whc.unesco.org/</t>
        </is>
      </c>
      <c r="V226" s="2" t="inlineStr">
        <is>
          <t>UNESCO</t>
        </is>
      </c>
      <c r="W226" s="8" t="inlineStr">
        <is>
          <t>https://whc.unesco.org/</t>
        </is>
      </c>
      <c r="X226" s="2" t="inlineStr">
        <is>
          <t>UNESCO</t>
        </is>
      </c>
      <c r="Y226" s="8" t="inlineStr">
        <is>
          <t>https://whc.unesco.org/</t>
        </is>
      </c>
      <c r="Z226" s="2" t="inlineStr">
        <is>
          <t>UNESCO</t>
        </is>
      </c>
      <c r="AA226" s="8" t="inlineStr">
        <is>
          <t>https://whc.unesco.org/</t>
        </is>
      </c>
      <c r="AB226" s="2" t="inlineStr">
        <is>
          <t>UNESCO</t>
        </is>
      </c>
      <c r="AC226" s="8" t="inlineStr">
        <is>
          <t>https://whc.unesco.org/</t>
        </is>
      </c>
      <c r="AD226" s="2" t="inlineStr">
        <is>
          <t>Stonehenge archaeology chronology</t>
        </is>
      </c>
      <c r="AE226" s="2" t="inlineStr">
        <is>
          <t>Use phase sequence and finds; avoid retrofitting all functions into a single purpose.</t>
        </is>
      </c>
      <c r="AF226" s="2" t="inlineStr">
        <is>
          <t>Newgrange; Nabta Playa; Antikythera debates</t>
        </is>
      </c>
      <c r="AG226" s="2" t="inlineStr">
        <is>
          <t>Critical</t>
        </is>
      </c>
      <c r="AH226" s="2" t="inlineStr">
        <is>
          <t>High</t>
        </is>
      </c>
      <c r="AI226" s="2" t="inlineStr"/>
      <c r="AJ226" t="inlineStr">
        <is>
          <t>https://whc.unesco.org/en/search/?searchterm=Stonehenge+archaeology+chronology</t>
        </is>
      </c>
      <c r="AK226" t="inlineStr">
        <is>
          <t>https://whc.unesco.org/en/search/?searchterm=Stonehenge+archaeology+chronology</t>
        </is>
      </c>
      <c r="AL226" t="inlineStr">
        <is>
          <t>https://whc.unesco.org/en/search/?searchterm=Stonehenge+archaeology+chronology</t>
        </is>
      </c>
      <c r="AM226" t="inlineStr">
        <is>
          <t>https://whc.unesco.org/en/search/?searchterm=Stonehenge+archaeology+chronology</t>
        </is>
      </c>
      <c r="AN226" t="inlineStr">
        <is>
          <t>https://whc.unesco.org/en/search/?searchterm=Stonehenge+archaeology+chronology</t>
        </is>
      </c>
      <c r="AO226" t="inlineStr">
        <is>
          <t>1) Fact base: UNESCO. 2) Translation/text: UNESCO. 3) Images/objects: UNESCO. 4) Context/explanation: UNESCO. 5) Geography/maps: UNESCO. Use Suggested_Search_Term inside each portal.</t>
        </is>
      </c>
      <c r="AP226" t="inlineStr">
        <is>
          <t>Mixed: direct portal homepages plus search-result URLs where the portal exposes a public search endpoint.</t>
        </is>
      </c>
    </row>
    <row r="227">
      <c r="A227" s="2" t="n">
        <v>226</v>
      </c>
      <c r="B227" s="7" t="inlineStr">
        <is>
          <t>BCE_to_1AD</t>
        </is>
      </c>
      <c r="C227" s="2" t="inlineStr">
        <is>
          <t>Prehistory / Neolithic</t>
        </is>
      </c>
      <c r="D227" s="2" t="inlineStr">
        <is>
          <t>Neolithic Malta</t>
        </is>
      </c>
      <c r="E227" s="2" t="n">
        <v>-3600</v>
      </c>
      <c r="F227" s="2" t="n">
        <v>-2500</v>
      </c>
      <c r="G227" s="2" t="inlineStr">
        <is>
          <t>c. 3600-2500 BCE</t>
        </is>
      </c>
      <c r="H227" s="2" t="inlineStr">
        <is>
          <t>Ħaġar Qim and Mnajdra temples</t>
        </is>
      </c>
      <c r="I227" s="2" t="inlineStr">
        <is>
          <t>Site</t>
        </is>
      </c>
      <c r="J227" s="2" t="inlineStr">
        <is>
          <t>architecture</t>
        </is>
      </c>
      <c r="K227" s="2" t="inlineStr">
        <is>
          <t>ritual architecture</t>
        </is>
      </c>
      <c r="L227" s="2" t="inlineStr">
        <is>
          <t>sky observation</t>
        </is>
      </c>
      <c r="M227" s="2" t="inlineStr">
        <is>
          <t>Malta</t>
        </is>
      </c>
      <c r="N227" s="2" t="inlineStr">
        <is>
          <t>Malta</t>
        </is>
      </c>
      <c r="O227" s="2" t="inlineStr">
        <is>
          <t>Temple complexes with carved stone furnishings and long ritual use.</t>
        </is>
      </c>
      <c r="P227" s="2" t="inlineStr">
        <is>
          <t>Important Mediterranean megalithic case for ritual architecture and alignment claims.</t>
        </is>
      </c>
      <c r="Q227" s="2" t="inlineStr">
        <is>
          <t>High</t>
        </is>
      </c>
      <c r="R227" s="2" t="inlineStr">
        <is>
          <t>No</t>
        </is>
      </c>
      <c r="S227" s="2" t="inlineStr">
        <is>
          <t>Yes</t>
        </is>
      </c>
      <c r="T227" s="2" t="inlineStr">
        <is>
          <t>UNESCO</t>
        </is>
      </c>
      <c r="U227" s="8" t="inlineStr">
        <is>
          <t>https://whc.unesco.org/</t>
        </is>
      </c>
      <c r="V227" s="2" t="inlineStr">
        <is>
          <t>UNESCO</t>
        </is>
      </c>
      <c r="W227" s="8" t="inlineStr">
        <is>
          <t>https://whc.unesco.org/</t>
        </is>
      </c>
      <c r="X227" s="2" t="inlineStr">
        <is>
          <t>UNESCO</t>
        </is>
      </c>
      <c r="Y227" s="8" t="inlineStr">
        <is>
          <t>https://whc.unesco.org/</t>
        </is>
      </c>
      <c r="Z227" s="2" t="inlineStr">
        <is>
          <t>UNESCO</t>
        </is>
      </c>
      <c r="AA227" s="8" t="inlineStr">
        <is>
          <t>https://whc.unesco.org/</t>
        </is>
      </c>
      <c r="AB227" s="2" t="inlineStr">
        <is>
          <t>UNESCO</t>
        </is>
      </c>
      <c r="AC227" s="8" t="inlineStr">
        <is>
          <t>https://whc.unesco.org/</t>
        </is>
      </c>
      <c r="AD227" s="2" t="inlineStr">
        <is>
          <t>Mnajdra temple alignment</t>
        </is>
      </c>
      <c r="AE227" s="2" t="inlineStr">
        <is>
          <t>No deciphered text corpus; use site plans and object records.</t>
        </is>
      </c>
      <c r="AF227" s="2" t="inlineStr">
        <is>
          <t>Stonehenge; Hypogeum; megalithic temple traditions</t>
        </is>
      </c>
      <c r="AG227" s="2" t="inlineStr">
        <is>
          <t>High</t>
        </is>
      </c>
      <c r="AH227" s="2" t="inlineStr">
        <is>
          <t>Medium</t>
        </is>
      </c>
      <c r="AI227" s="2" t="inlineStr"/>
      <c r="AJ227" t="inlineStr">
        <is>
          <t>https://whc.unesco.org/en/search/?searchterm=Mnajdra+temple+alignment</t>
        </is>
      </c>
      <c r="AK227" t="inlineStr">
        <is>
          <t>https://whc.unesco.org/en/search/?searchterm=Mnajdra+temple+alignment</t>
        </is>
      </c>
      <c r="AL227" t="inlineStr">
        <is>
          <t>https://whc.unesco.org/en/search/?searchterm=Mnajdra+temple+alignment</t>
        </is>
      </c>
      <c r="AM227" t="inlineStr">
        <is>
          <t>https://whc.unesco.org/en/search/?searchterm=Mnajdra+temple+alignment</t>
        </is>
      </c>
      <c r="AN227" t="inlineStr">
        <is>
          <t>https://whc.unesco.org/en/search/?searchterm=Mnajdra+temple+alignment</t>
        </is>
      </c>
      <c r="AO227" t="inlineStr">
        <is>
          <t>1) Fact base: UNESCO. 2) Translation/text: UNESCO. 3) Images/objects: UNESCO. 4) Context/explanation: UNESCO. 5) Geography/maps: UNESCO. Use Suggested_Search_Term inside each portal.</t>
        </is>
      </c>
      <c r="AP227" t="inlineStr">
        <is>
          <t>Mixed: direct portal homepages plus search-result URLs where the portal exposes a public search endpoint.</t>
        </is>
      </c>
    </row>
    <row r="228">
      <c r="A228" s="2" t="n">
        <v>227</v>
      </c>
      <c r="B228" s="7" t="inlineStr">
        <is>
          <t>BCE_to_1AD</t>
        </is>
      </c>
      <c r="C228" s="2" t="inlineStr">
        <is>
          <t>Prehistory / Neolithic</t>
        </is>
      </c>
      <c r="D228" s="2" t="inlineStr">
        <is>
          <t>Predynastic Sahara</t>
        </is>
      </c>
      <c r="E228" s="2" t="n">
        <v>-6000</v>
      </c>
      <c r="F228" s="2" t="n">
        <v>-3000</v>
      </c>
      <c r="G228" s="2" t="inlineStr">
        <is>
          <t>c. 6000-3000 BCE</t>
        </is>
      </c>
      <c r="H228" s="2" t="inlineStr">
        <is>
          <t>Nabta Playa</t>
        </is>
      </c>
      <c r="I228" s="2" t="inlineStr">
        <is>
          <t>Site</t>
        </is>
      </c>
      <c r="J228" s="2" t="inlineStr">
        <is>
          <t>stone setting + burials</t>
        </is>
      </c>
      <c r="K228" s="2" t="inlineStr">
        <is>
          <t>sky observation</t>
        </is>
      </c>
      <c r="L228" s="2" t="inlineStr">
        <is>
          <t>ritual landscape</t>
        </is>
      </c>
      <c r="M228" s="2" t="inlineStr">
        <is>
          <t>Egypt</t>
        </is>
      </c>
      <c r="N228" s="2" t="inlineStr">
        <is>
          <t>Western Desert</t>
        </is>
      </c>
      <c r="O228" s="2" t="inlineStr">
        <is>
          <t>Desert ceremonial and pastoral complex with burials, megalithic features, and seasonal occupation.</t>
        </is>
      </c>
      <c r="P228" s="2" t="inlineStr">
        <is>
          <t>Commonly cited in archaeoastronomy debates and for early monumentality in Africa.</t>
        </is>
      </c>
      <c r="Q228" s="2" t="inlineStr">
        <is>
          <t>High</t>
        </is>
      </c>
      <c r="R228" s="2" t="inlineStr">
        <is>
          <t>No</t>
        </is>
      </c>
      <c r="S228" s="2" t="inlineStr">
        <is>
          <t>Yes</t>
        </is>
      </c>
      <c r="T228" s="2" t="inlineStr">
        <is>
          <t>UNESCO</t>
        </is>
      </c>
      <c r="U228" s="8" t="inlineStr">
        <is>
          <t>https://whc.unesco.org/</t>
        </is>
      </c>
      <c r="V228" s="2" t="inlineStr">
        <is>
          <t>UNESCO</t>
        </is>
      </c>
      <c r="W228" s="8" t="inlineStr">
        <is>
          <t>https://whc.unesco.org/</t>
        </is>
      </c>
      <c r="X228" s="2" t="inlineStr">
        <is>
          <t>Smithsonian Open Access</t>
        </is>
      </c>
      <c r="Y228" s="8" t="inlineStr">
        <is>
          <t>https://www.si.edu/openaccess</t>
        </is>
      </c>
      <c r="Z228" s="2" t="inlineStr">
        <is>
          <t>Open Context</t>
        </is>
      </c>
      <c r="AA228" s="8" t="inlineStr">
        <is>
          <t>https://opencontext.org/</t>
        </is>
      </c>
      <c r="AB228" s="2" t="inlineStr">
        <is>
          <t>UNESCO</t>
        </is>
      </c>
      <c r="AC228" s="8" t="inlineStr">
        <is>
          <t>https://whc.unesco.org/</t>
        </is>
      </c>
      <c r="AD228" s="2" t="inlineStr">
        <is>
          <t>Nabta Playa archaeology</t>
        </is>
      </c>
      <c r="AE228" s="2" t="inlineStr">
        <is>
          <t>Use excavation chronology and faunal/environmental data; avoid speculative precision claims.</t>
        </is>
      </c>
      <c r="AF228" s="2" t="inlineStr">
        <is>
          <t>Stonehenge; Newgrange; Egyptian sky knowledge</t>
        </is>
      </c>
      <c r="AG228" s="2" t="inlineStr">
        <is>
          <t>High</t>
        </is>
      </c>
      <c r="AH228" s="2" t="inlineStr">
        <is>
          <t>Medium</t>
        </is>
      </c>
      <c r="AI228" s="2" t="inlineStr"/>
      <c r="AJ228" t="inlineStr">
        <is>
          <t>https://whc.unesco.org/en/search/?searchterm=Nabta+Playa+archaeology</t>
        </is>
      </c>
      <c r="AK228" t="inlineStr">
        <is>
          <t>https://whc.unesco.org/en/search/?searchterm=Nabta+Playa+archaeology</t>
        </is>
      </c>
      <c r="AL228" t="inlineStr">
        <is>
          <t>https://www.si.edu/collection/search?edan_q=Nabta+Playa+archaeology</t>
        </is>
      </c>
      <c r="AM228" t="inlineStr">
        <is>
          <t>https://opencontext.org/</t>
        </is>
      </c>
      <c r="AN228" t="inlineStr">
        <is>
          <t>https://whc.unesco.org/en/search/?searchterm=Nabta+Playa+archaeology</t>
        </is>
      </c>
      <c r="AO228" t="inlineStr">
        <is>
          <t>1) Fact base: UNESCO. 2) Translation/text: UNESCO. 3) Images/objects: Smithsonian Open Access. 4) Context/explanation: Open Context. 5) Geography/maps: UNESCO. Use Suggested_Search_Term inside each portal.</t>
        </is>
      </c>
      <c r="AP228" t="inlineStr">
        <is>
          <t>Mixed: direct portal homepages plus search-result URLs where the portal exposes a public search endpoint.</t>
        </is>
      </c>
    </row>
    <row r="229">
      <c r="A229" s="2" t="n">
        <v>228</v>
      </c>
      <c r="B229" s="7" t="inlineStr">
        <is>
          <t>BCE_to_1AD</t>
        </is>
      </c>
      <c r="C229" s="2" t="inlineStr">
        <is>
          <t>Mesopotamia</t>
        </is>
      </c>
      <c r="D229" s="2" t="inlineStr">
        <is>
          <t>Sumerian</t>
        </is>
      </c>
      <c r="E229" s="2" t="n">
        <v>-2600</v>
      </c>
      <c r="F229" s="2" t="n">
        <v>-2000</v>
      </c>
      <c r="G229" s="2" t="inlineStr">
        <is>
          <t>c. 2600-2000 BCE</t>
        </is>
      </c>
      <c r="H229" s="2" t="inlineStr">
        <is>
          <t>Enki and Ninhursag</t>
        </is>
      </c>
      <c r="I229" s="2" t="inlineStr">
        <is>
          <t>Text</t>
        </is>
      </c>
      <c r="J229" s="2" t="inlineStr">
        <is>
          <t>tablet copies</t>
        </is>
      </c>
      <c r="K229" s="2" t="inlineStr">
        <is>
          <t>creation / origins</t>
        </is>
      </c>
      <c r="L229" s="2" t="inlineStr">
        <is>
          <t>Dilmun</t>
        </is>
      </c>
      <c r="M229" s="2" t="inlineStr">
        <is>
          <t>Iraq</t>
        </is>
      </c>
      <c r="N229" s="2" t="inlineStr">
        <is>
          <t>Dilmun tradition / Mesopotamia</t>
        </is>
      </c>
      <c r="O229" s="2" t="inlineStr">
        <is>
          <t>Mythic narrative involving Enki, Ninhursag, Dilmun, fertility, and ordered life.</t>
        </is>
      </c>
      <c r="P229" s="2" t="inlineStr">
        <is>
          <t>Key for Eden-like landscape comparisons and divine-human order motifs.</t>
        </is>
      </c>
      <c r="Q229" s="2" t="inlineStr">
        <is>
          <t>High</t>
        </is>
      </c>
      <c r="R229" s="2" t="inlineStr">
        <is>
          <t>Yes</t>
        </is>
      </c>
      <c r="S229" s="2" t="inlineStr">
        <is>
          <t>Low</t>
        </is>
      </c>
      <c r="T229" s="2" t="inlineStr">
        <is>
          <t>ETCSL</t>
        </is>
      </c>
      <c r="U229" s="8" t="inlineStr">
        <is>
          <t>https://etcsl.orinst.ox.ac.uk/</t>
        </is>
      </c>
      <c r="V229" s="2" t="inlineStr">
        <is>
          <t>ETCSL</t>
        </is>
      </c>
      <c r="W229" s="8" t="inlineStr">
        <is>
          <t>https://etcsl.orinst.ox.ac.uk/</t>
        </is>
      </c>
      <c r="X229" s="2" t="inlineStr">
        <is>
          <t>British Museum Collection</t>
        </is>
      </c>
      <c r="Y229" s="8" t="inlineStr">
        <is>
          <t>https://www.britishmuseum.org/collection</t>
        </is>
      </c>
      <c r="Z229" s="2" t="inlineStr">
        <is>
          <t>ORACC</t>
        </is>
      </c>
      <c r="AA229" s="8" t="inlineStr">
        <is>
          <t>https://oracc.museum.upenn.edu/</t>
        </is>
      </c>
      <c r="AB229" s="2" t="inlineStr">
        <is>
          <t>Pleiades</t>
        </is>
      </c>
      <c r="AC229" s="8" t="inlineStr">
        <is>
          <t>https://pleiades.stoa.org/</t>
        </is>
      </c>
      <c r="AD229" s="2" t="inlineStr">
        <is>
          <t>Enki and Ninhursag ETCSL Dilmun</t>
        </is>
      </c>
      <c r="AE229" s="2" t="inlineStr">
        <is>
          <t>Literary text preserved in later copies; compare motif history carefully.</t>
        </is>
      </c>
      <c r="AF229" s="2" t="inlineStr">
        <is>
          <t>Dilmun; Genesis garden imagery; sacred waters</t>
        </is>
      </c>
      <c r="AG229" s="2" t="inlineStr">
        <is>
          <t>Critical</t>
        </is>
      </c>
      <c r="AH229" s="2" t="inlineStr">
        <is>
          <t>High</t>
        </is>
      </c>
      <c r="AI229" s="2" t="inlineStr"/>
      <c r="AJ229" t="inlineStr">
        <is>
          <t>https://etcsl.orinst.ox.ac.uk/</t>
        </is>
      </c>
      <c r="AK229" t="inlineStr">
        <is>
          <t>https://etcsl.orinst.ox.ac.uk/</t>
        </is>
      </c>
      <c r="AL229" t="inlineStr">
        <is>
          <t>https://www.britishmuseum.org/collection/search?keyword=Enki+and+Ninhursag+ETCSL+Dilmun</t>
        </is>
      </c>
      <c r="AM229" t="inlineStr">
        <is>
          <t>https://oracc.museum.upenn.edu/</t>
        </is>
      </c>
      <c r="AN229" t="inlineStr">
        <is>
          <t>https://pleiades.stoa.org/search?SearchableText=Enki+and+Ninhursag+ETCSL+Dilmun</t>
        </is>
      </c>
      <c r="AO229" t="inlineStr">
        <is>
          <t>1) Fact base: ETCSL. 2) Translation/text: ETCSL. 3) Images/objects: British Museum Collection. 4) Context/explanation: ORACC. 5) Geography/maps: Pleiades. Use Suggested_Search_Term inside each portal.</t>
        </is>
      </c>
      <c r="AP229" t="inlineStr">
        <is>
          <t>Mixed: direct portal homepages plus search-result URLs where the portal exposes a public search endpoint.</t>
        </is>
      </c>
    </row>
    <row r="230">
      <c r="A230" s="2" t="n">
        <v>229</v>
      </c>
      <c r="B230" s="7" t="inlineStr">
        <is>
          <t>BCE_to_1AD</t>
        </is>
      </c>
      <c r="C230" s="2" t="inlineStr">
        <is>
          <t>Mesopotamia</t>
        </is>
      </c>
      <c r="D230" s="2" t="inlineStr">
        <is>
          <t>Sumerian</t>
        </is>
      </c>
      <c r="E230" s="2" t="n">
        <v>-2100</v>
      </c>
      <c r="F230" s="2" t="n">
        <v>-1800</v>
      </c>
      <c r="G230" s="2" t="inlineStr">
        <is>
          <t>c. 2100-1800 BCE</t>
        </is>
      </c>
      <c r="H230" s="2" t="inlineStr">
        <is>
          <t>Enki and the World Order</t>
        </is>
      </c>
      <c r="I230" s="2" t="inlineStr">
        <is>
          <t>Text</t>
        </is>
      </c>
      <c r="J230" s="2" t="inlineStr">
        <is>
          <t>tablet copies</t>
        </is>
      </c>
      <c r="K230" s="2" t="inlineStr">
        <is>
          <t>divine order</t>
        </is>
      </c>
      <c r="L230" s="2" t="inlineStr">
        <is>
          <t>civilizer gods</t>
        </is>
      </c>
      <c r="M230" s="2" t="inlineStr">
        <is>
          <t>Iraq</t>
        </is>
      </c>
      <c r="N230" s="2" t="inlineStr">
        <is>
          <t>Mesopotamia</t>
        </is>
      </c>
      <c r="O230" s="2" t="inlineStr">
        <is>
          <t>Sumerian composition allocating powers, lands, and functions among gods and regions.</t>
        </is>
      </c>
      <c r="P230" s="2" t="inlineStr">
        <is>
          <t>Directly useful for the motif of gods assigning lands and functions.</t>
        </is>
      </c>
      <c r="Q230" s="2" t="inlineStr">
        <is>
          <t>High</t>
        </is>
      </c>
      <c r="R230" s="2" t="inlineStr">
        <is>
          <t>Yes</t>
        </is>
      </c>
      <c r="S230" s="2" t="inlineStr">
        <is>
          <t>Low</t>
        </is>
      </c>
      <c r="T230" s="2" t="inlineStr">
        <is>
          <t>ETCSL</t>
        </is>
      </c>
      <c r="U230" s="8" t="inlineStr">
        <is>
          <t>https://etcsl.orinst.ox.ac.uk/</t>
        </is>
      </c>
      <c r="V230" s="2" t="inlineStr">
        <is>
          <t>ETCSL</t>
        </is>
      </c>
      <c r="W230" s="8" t="inlineStr">
        <is>
          <t>https://etcsl.orinst.ox.ac.uk/</t>
        </is>
      </c>
      <c r="X230" s="2" t="inlineStr">
        <is>
          <t>Penn Museum</t>
        </is>
      </c>
      <c r="Y230" s="8" t="inlineStr">
        <is>
          <t>https://www.penn.museum/</t>
        </is>
      </c>
      <c r="Z230" s="2" t="inlineStr">
        <is>
          <t>ORACC</t>
        </is>
      </c>
      <c r="AA230" s="8" t="inlineStr">
        <is>
          <t>https://oracc.museum.upenn.edu/</t>
        </is>
      </c>
      <c r="AB230" s="2" t="inlineStr">
        <is>
          <t>Pleiades</t>
        </is>
      </c>
      <c r="AC230" s="8" t="inlineStr">
        <is>
          <t>https://pleiades.stoa.org/</t>
        </is>
      </c>
      <c r="AD230" s="2" t="inlineStr">
        <is>
          <t>Enki and the World Order ETCSL</t>
        </is>
      </c>
      <c r="AE230" s="2" t="inlineStr">
        <is>
          <t>Literary cosmology, not a historical gazetteer.</t>
        </is>
      </c>
      <c r="AF230" s="2" t="inlineStr">
        <is>
          <t>Oannes/Apkallu; post-flood order; divine governance</t>
        </is>
      </c>
      <c r="AG230" s="2" t="inlineStr">
        <is>
          <t>Critical</t>
        </is>
      </c>
      <c r="AH230" s="2" t="inlineStr">
        <is>
          <t>High</t>
        </is>
      </c>
      <c r="AI230" s="2" t="inlineStr"/>
      <c r="AJ230" t="inlineStr">
        <is>
          <t>https://etcsl.orinst.ox.ac.uk/</t>
        </is>
      </c>
      <c r="AK230" t="inlineStr">
        <is>
          <t>https://etcsl.orinst.ox.ac.uk/</t>
        </is>
      </c>
      <c r="AL230" t="inlineStr">
        <is>
          <t>https://www.penn.museum/</t>
        </is>
      </c>
      <c r="AM230" t="inlineStr">
        <is>
          <t>https://oracc.museum.upenn.edu/</t>
        </is>
      </c>
      <c r="AN230" t="inlineStr">
        <is>
          <t>https://pleiades.stoa.org/search?SearchableText=Enki+and+the+World+Order+ETCSL</t>
        </is>
      </c>
      <c r="AO230" t="inlineStr">
        <is>
          <t>1) Fact base: ETCSL. 2) Translation/text: ETCSL. 3) Images/objects: Penn Museum. 4) Context/explanation: ORACC. 5) Geography/maps: Pleiades. Use Suggested_Search_Term inside each portal.</t>
        </is>
      </c>
      <c r="AP230" t="inlineStr">
        <is>
          <t>Mixed: direct portal homepages plus search-result URLs where the portal exposes a public search endpoint.</t>
        </is>
      </c>
    </row>
    <row r="231">
      <c r="A231" s="2" t="n">
        <v>230</v>
      </c>
      <c r="B231" s="7" t="inlineStr">
        <is>
          <t>BCE_to_1AD</t>
        </is>
      </c>
      <c r="C231" s="2" t="inlineStr">
        <is>
          <t>Mesopotamia</t>
        </is>
      </c>
      <c r="D231" s="2" t="inlineStr">
        <is>
          <t>Sumerian</t>
        </is>
      </c>
      <c r="E231" s="2" t="n">
        <v>-2100</v>
      </c>
      <c r="F231" s="2" t="n">
        <v>-1800</v>
      </c>
      <c r="G231" s="2" t="inlineStr">
        <is>
          <t>c. 2100-1800 BCE</t>
        </is>
      </c>
      <c r="H231" s="2" t="inlineStr">
        <is>
          <t>Enki and Ninmah</t>
        </is>
      </c>
      <c r="I231" s="2" t="inlineStr">
        <is>
          <t>Text</t>
        </is>
      </c>
      <c r="J231" s="2" t="inlineStr">
        <is>
          <t>tablet copies</t>
        </is>
      </c>
      <c r="K231" s="2" t="inlineStr">
        <is>
          <t>creation of humans</t>
        </is>
      </c>
      <c r="L231" s="2" t="inlineStr">
        <is>
          <t>divine craftsmanship</t>
        </is>
      </c>
      <c r="M231" s="2" t="inlineStr">
        <is>
          <t>Iraq</t>
        </is>
      </c>
      <c r="N231" s="2" t="inlineStr">
        <is>
          <t>Mesopotamia</t>
        </is>
      </c>
      <c r="O231" s="2" t="inlineStr">
        <is>
          <t>Mythic account of human formation and the social order surrounding labor and disability.</t>
        </is>
      </c>
      <c r="P231" s="2" t="inlineStr">
        <is>
          <t>Important for anthropogony and clay-creation comparisons.</t>
        </is>
      </c>
      <c r="Q231" s="2" t="inlineStr">
        <is>
          <t>High</t>
        </is>
      </c>
      <c r="R231" s="2" t="inlineStr">
        <is>
          <t>Yes</t>
        </is>
      </c>
      <c r="S231" s="2" t="inlineStr">
        <is>
          <t>Low</t>
        </is>
      </c>
      <c r="T231" s="2" t="inlineStr">
        <is>
          <t>ETCSL</t>
        </is>
      </c>
      <c r="U231" s="8" t="inlineStr">
        <is>
          <t>https://etcsl.orinst.ox.ac.uk/</t>
        </is>
      </c>
      <c r="V231" s="2" t="inlineStr">
        <is>
          <t>ETCSL</t>
        </is>
      </c>
      <c r="W231" s="8" t="inlineStr">
        <is>
          <t>https://etcsl.orinst.ox.ac.uk/</t>
        </is>
      </c>
      <c r="X231" s="2" t="inlineStr">
        <is>
          <t>Penn Museum</t>
        </is>
      </c>
      <c r="Y231" s="8" t="inlineStr">
        <is>
          <t>https://www.penn.museum/</t>
        </is>
      </c>
      <c r="Z231" s="2" t="inlineStr">
        <is>
          <t>ORACC</t>
        </is>
      </c>
      <c r="AA231" s="8" t="inlineStr">
        <is>
          <t>https://oracc.museum.upenn.edu/</t>
        </is>
      </c>
      <c r="AB231" s="2" t="inlineStr">
        <is>
          <t>Pleiades</t>
        </is>
      </c>
      <c r="AC231" s="8" t="inlineStr">
        <is>
          <t>https://pleiades.stoa.org/</t>
        </is>
      </c>
      <c r="AD231" s="2" t="inlineStr">
        <is>
          <t>Enki and Ninmah ETCSL</t>
        </is>
      </c>
      <c r="AE231" s="2" t="inlineStr">
        <is>
          <t>Use text wording, not later paraphrases.</t>
        </is>
      </c>
      <c r="AF231" s="2" t="inlineStr">
        <is>
          <t>Atrahasis; Genesis 2; clay creation</t>
        </is>
      </c>
      <c r="AG231" s="2" t="inlineStr">
        <is>
          <t>Critical</t>
        </is>
      </c>
      <c r="AH231" s="2" t="inlineStr">
        <is>
          <t>High</t>
        </is>
      </c>
      <c r="AI231" s="2" t="inlineStr"/>
      <c r="AJ231" t="inlineStr">
        <is>
          <t>https://etcsl.orinst.ox.ac.uk/</t>
        </is>
      </c>
      <c r="AK231" t="inlineStr">
        <is>
          <t>https://etcsl.orinst.ox.ac.uk/</t>
        </is>
      </c>
      <c r="AL231" t="inlineStr">
        <is>
          <t>https://www.penn.museum/</t>
        </is>
      </c>
      <c r="AM231" t="inlineStr">
        <is>
          <t>https://oracc.museum.upenn.edu/</t>
        </is>
      </c>
      <c r="AN231" t="inlineStr">
        <is>
          <t>https://pleiades.stoa.org/search?SearchableText=Enki+and+Ninmah+ETCSL</t>
        </is>
      </c>
      <c r="AO231" t="inlineStr">
        <is>
          <t>1) Fact base: ETCSL. 2) Translation/text: ETCSL. 3) Images/objects: Penn Museum. 4) Context/explanation: ORACC. 5) Geography/maps: Pleiades. Use Suggested_Search_Term inside each portal.</t>
        </is>
      </c>
      <c r="AP231" t="inlineStr">
        <is>
          <t>Mixed: direct portal homepages plus search-result URLs where the portal exposes a public search endpoint.</t>
        </is>
      </c>
    </row>
    <row r="232">
      <c r="A232" s="2" t="n">
        <v>231</v>
      </c>
      <c r="B232" s="7" t="inlineStr">
        <is>
          <t>BCE_to_1AD</t>
        </is>
      </c>
      <c r="C232" s="2" t="inlineStr">
        <is>
          <t>Mesopotamia</t>
        </is>
      </c>
      <c r="D232" s="2" t="inlineStr">
        <is>
          <t>Akkadian</t>
        </is>
      </c>
      <c r="E232" s="2" t="n">
        <v>-1800</v>
      </c>
      <c r="F232" s="2" t="n">
        <v>-1200</v>
      </c>
      <c r="G232" s="2" t="inlineStr">
        <is>
          <t>2nd millennium BCE</t>
        </is>
      </c>
      <c r="H232" s="2" t="inlineStr">
        <is>
          <t>Adapa myth</t>
        </is>
      </c>
      <c r="I232" s="2" t="inlineStr">
        <is>
          <t>Text</t>
        </is>
      </c>
      <c r="J232" s="2" t="inlineStr">
        <is>
          <t>tablet copies</t>
        </is>
      </c>
      <c r="K232" s="2" t="inlineStr">
        <is>
          <t>wisdom</t>
        </is>
      </c>
      <c r="L232" s="2" t="inlineStr">
        <is>
          <t>origins / mortality</t>
        </is>
      </c>
      <c r="M232" s="2" t="inlineStr">
        <is>
          <t>Iraq</t>
        </is>
      </c>
      <c r="N232" s="2" t="inlineStr">
        <is>
          <t>Mesopotamia</t>
        </is>
      </c>
      <c r="O232" s="2" t="inlineStr">
        <is>
          <t>Narrative of Adapa, Ea, heavenly ascent, bread/water of life, and lost immortality.</t>
        </is>
      </c>
      <c r="P232" s="2" t="inlineStr">
        <is>
          <t>Major comparator for human mortality and primeval wisdom traditions.</t>
        </is>
      </c>
      <c r="Q232" s="2" t="inlineStr">
        <is>
          <t>High</t>
        </is>
      </c>
      <c r="R232" s="2" t="inlineStr">
        <is>
          <t>Yes</t>
        </is>
      </c>
      <c r="S232" s="2" t="inlineStr">
        <is>
          <t>Low</t>
        </is>
      </c>
      <c r="T232" s="2" t="inlineStr">
        <is>
          <t>ORACC</t>
        </is>
      </c>
      <c r="U232" s="8" t="inlineStr">
        <is>
          <t>https://oracc.museum.upenn.edu/</t>
        </is>
      </c>
      <c r="V232" s="2" t="inlineStr">
        <is>
          <t>ORACC</t>
        </is>
      </c>
      <c r="W232" s="8" t="inlineStr">
        <is>
          <t>https://oracc.museum.upenn.edu/</t>
        </is>
      </c>
      <c r="X232" s="2" t="inlineStr">
        <is>
          <t>British Museum Collection</t>
        </is>
      </c>
      <c r="Y232" s="8" t="inlineStr">
        <is>
          <t>https://www.britishmuseum.org/collection</t>
        </is>
      </c>
      <c r="Z232" s="2" t="inlineStr">
        <is>
          <t>Penn Museum</t>
        </is>
      </c>
      <c r="AA232" s="8" t="inlineStr">
        <is>
          <t>https://www.penn.museum/</t>
        </is>
      </c>
      <c r="AB232" s="2" t="inlineStr">
        <is>
          <t>Pleiades</t>
        </is>
      </c>
      <c r="AC232" s="8" t="inlineStr">
        <is>
          <t>https://pleiades.stoa.org/</t>
        </is>
      </c>
      <c r="AD232" s="2" t="inlineStr">
        <is>
          <t>Adapa myth ORACC</t>
        </is>
      </c>
      <c r="AE232" s="2" t="inlineStr">
        <is>
          <t>Multiple copies and reconstructions; track tablet witnesses.</t>
        </is>
      </c>
      <c r="AF232" s="2" t="inlineStr">
        <is>
          <t>Genesis; Enoch; ascent traditions</t>
        </is>
      </c>
      <c r="AG232" s="2" t="inlineStr">
        <is>
          <t>Critical</t>
        </is>
      </c>
      <c r="AH232" s="2" t="inlineStr">
        <is>
          <t>High</t>
        </is>
      </c>
      <c r="AI232" s="2" t="inlineStr"/>
      <c r="AJ232" t="inlineStr">
        <is>
          <t>https://oracc.museum.upenn.edu/</t>
        </is>
      </c>
      <c r="AK232" t="inlineStr">
        <is>
          <t>https://oracc.museum.upenn.edu/</t>
        </is>
      </c>
      <c r="AL232" t="inlineStr">
        <is>
          <t>https://www.britishmuseum.org/collection/search?keyword=Adapa+myth+ORACC</t>
        </is>
      </c>
      <c r="AM232" t="inlineStr">
        <is>
          <t>https://www.penn.museum/</t>
        </is>
      </c>
      <c r="AN232" t="inlineStr">
        <is>
          <t>https://pleiades.stoa.org/search?SearchableText=Adapa+myth+ORACC</t>
        </is>
      </c>
      <c r="AO232" t="inlineStr">
        <is>
          <t>1) Fact base: ORACC. 2) Translation/text: ORACC. 3) Images/objects: British Museum Collection. 4) Context/explanation: Penn Museum. 5) Geography/maps: Pleiades. Use Suggested_Search_Term inside each portal.</t>
        </is>
      </c>
      <c r="AP232" t="inlineStr">
        <is>
          <t>Mixed: direct portal homepages plus search-result URLs where the portal exposes a public search endpoint.</t>
        </is>
      </c>
    </row>
    <row r="233">
      <c r="A233" s="2" t="n">
        <v>232</v>
      </c>
      <c r="B233" s="7" t="inlineStr">
        <is>
          <t>BCE_to_1AD</t>
        </is>
      </c>
      <c r="C233" s="2" t="inlineStr">
        <is>
          <t>Mesopotamia</t>
        </is>
      </c>
      <c r="D233" s="2" t="inlineStr">
        <is>
          <t>Akkadian</t>
        </is>
      </c>
      <c r="E233" s="2" t="n">
        <v>-1800</v>
      </c>
      <c r="F233" s="2" t="n">
        <v>-1200</v>
      </c>
      <c r="G233" s="2" t="inlineStr">
        <is>
          <t>2nd millennium BCE</t>
        </is>
      </c>
      <c r="H233" s="2" t="inlineStr">
        <is>
          <t>Etana myth</t>
        </is>
      </c>
      <c r="I233" s="2" t="inlineStr">
        <is>
          <t>Text</t>
        </is>
      </c>
      <c r="J233" s="2" t="inlineStr">
        <is>
          <t>tablet copies</t>
        </is>
      </c>
      <c r="K233" s="2" t="inlineStr">
        <is>
          <t>kingship</t>
        </is>
      </c>
      <c r="L233" s="2" t="inlineStr">
        <is>
          <t>ascent to heaven</t>
        </is>
      </c>
      <c r="M233" s="2" t="inlineStr">
        <is>
          <t>Iraq</t>
        </is>
      </c>
      <c r="N233" s="2" t="inlineStr">
        <is>
          <t>Mesopotamia</t>
        </is>
      </c>
      <c r="O233" s="2" t="inlineStr">
        <is>
          <t>Royal legend involving ascent to heaven in search of the plant of birth.</t>
        </is>
      </c>
      <c r="P233" s="2" t="inlineStr">
        <is>
          <t>Useful for heavenly-ascent and divine legitimation motifs.</t>
        </is>
      </c>
      <c r="Q233" s="2" t="inlineStr">
        <is>
          <t>Medium</t>
        </is>
      </c>
      <c r="R233" s="2" t="inlineStr">
        <is>
          <t>Yes</t>
        </is>
      </c>
      <c r="S233" s="2" t="inlineStr">
        <is>
          <t>Low</t>
        </is>
      </c>
      <c r="T233" s="2" t="inlineStr">
        <is>
          <t>ORACC</t>
        </is>
      </c>
      <c r="U233" s="8" t="inlineStr">
        <is>
          <t>https://oracc.museum.upenn.edu/</t>
        </is>
      </c>
      <c r="V233" s="2" t="inlineStr">
        <is>
          <t>ORACC</t>
        </is>
      </c>
      <c r="W233" s="8" t="inlineStr">
        <is>
          <t>https://oracc.museum.upenn.edu/</t>
        </is>
      </c>
      <c r="X233" s="2" t="inlineStr">
        <is>
          <t>British Museum Collection</t>
        </is>
      </c>
      <c r="Y233" s="8" t="inlineStr">
        <is>
          <t>https://www.britishmuseum.org/collection</t>
        </is>
      </c>
      <c r="Z233" s="2" t="inlineStr">
        <is>
          <t>Penn Museum</t>
        </is>
      </c>
      <c r="AA233" s="8" t="inlineStr">
        <is>
          <t>https://www.penn.museum/</t>
        </is>
      </c>
      <c r="AB233" s="2" t="inlineStr">
        <is>
          <t>Pleiades</t>
        </is>
      </c>
      <c r="AC233" s="8" t="inlineStr">
        <is>
          <t>https://pleiades.stoa.org/</t>
        </is>
      </c>
      <c r="AD233" s="2" t="inlineStr">
        <is>
          <t>Etana myth ORACC</t>
        </is>
      </c>
      <c r="AE233" s="2" t="inlineStr">
        <is>
          <t>Fragmentary; note reconstruction limits.</t>
        </is>
      </c>
      <c r="AF233" s="2" t="inlineStr">
        <is>
          <t>Adapa; Enoch; royal ascent imagery</t>
        </is>
      </c>
      <c r="AG233" s="2" t="inlineStr">
        <is>
          <t>High</t>
        </is>
      </c>
      <c r="AH233" s="2" t="inlineStr">
        <is>
          <t>Medium</t>
        </is>
      </c>
      <c r="AI233" s="2" t="inlineStr"/>
      <c r="AJ233" t="inlineStr">
        <is>
          <t>https://oracc.museum.upenn.edu/</t>
        </is>
      </c>
      <c r="AK233" t="inlineStr">
        <is>
          <t>https://oracc.museum.upenn.edu/</t>
        </is>
      </c>
      <c r="AL233" t="inlineStr">
        <is>
          <t>https://www.britishmuseum.org/collection/search?keyword=Etana+myth+ORACC</t>
        </is>
      </c>
      <c r="AM233" t="inlineStr">
        <is>
          <t>https://www.penn.museum/</t>
        </is>
      </c>
      <c r="AN233" t="inlineStr">
        <is>
          <t>https://pleiades.stoa.org/search?SearchableText=Etana+myth+ORACC</t>
        </is>
      </c>
      <c r="AO233" t="inlineStr">
        <is>
          <t>1) Fact base: ORACC. 2) Translation/text: ORACC. 3) Images/objects: British Museum Collection. 4) Context/explanation: Penn Museum. 5) Geography/maps: Pleiades. Use Suggested_Search_Term inside each portal.</t>
        </is>
      </c>
      <c r="AP233" t="inlineStr">
        <is>
          <t>Mixed: direct portal homepages plus search-result URLs where the portal exposes a public search endpoint.</t>
        </is>
      </c>
    </row>
    <row r="234">
      <c r="A234" s="2" t="n">
        <v>233</v>
      </c>
      <c r="B234" s="7" t="inlineStr">
        <is>
          <t>BCE_to_1AD</t>
        </is>
      </c>
      <c r="C234" s="2" t="inlineStr">
        <is>
          <t>Mesopotamia</t>
        </is>
      </c>
      <c r="D234" s="2" t="inlineStr">
        <is>
          <t>Akkadian</t>
        </is>
      </c>
      <c r="E234" s="2" t="n">
        <v>-1100</v>
      </c>
      <c r="F234" s="2" t="n">
        <v>-600</v>
      </c>
      <c r="G234" s="2" t="inlineStr">
        <is>
          <t>1st millennium BCE</t>
        </is>
      </c>
      <c r="H234" s="2" t="inlineStr">
        <is>
          <t>Apkallu / antediluvian sages traditions</t>
        </is>
      </c>
      <c r="I234" s="2" t="inlineStr">
        <is>
          <t>Text tradition</t>
        </is>
      </c>
      <c r="J234" s="2" t="inlineStr">
        <is>
          <t>ritual tablets</t>
        </is>
      </c>
      <c r="K234" s="2" t="inlineStr">
        <is>
          <t>antediluvian sages</t>
        </is>
      </c>
      <c r="L234" s="2" t="inlineStr">
        <is>
          <t>protection rites</t>
        </is>
      </c>
      <c r="M234" s="2" t="inlineStr">
        <is>
          <t>Iraq</t>
        </is>
      </c>
      <c r="N234" s="2" t="inlineStr">
        <is>
          <t>Mesopotamia</t>
        </is>
      </c>
      <c r="O234" s="2" t="inlineStr">
        <is>
          <t>Ritual and scholarly tradition listing sages and protective figures tied to antediluvian wisdom.</t>
        </is>
      </c>
      <c r="P234" s="2" t="inlineStr">
        <is>
          <t>Core source for Oannes/Apkallu and pre-flood teacher motifs.</t>
        </is>
      </c>
      <c r="Q234" s="2" t="inlineStr">
        <is>
          <t>High</t>
        </is>
      </c>
      <c r="R234" s="2" t="inlineStr">
        <is>
          <t>Yes</t>
        </is>
      </c>
      <c r="S234" s="2" t="inlineStr">
        <is>
          <t>Low</t>
        </is>
      </c>
      <c r="T234" s="2" t="inlineStr">
        <is>
          <t>ORACC</t>
        </is>
      </c>
      <c r="U234" s="8" t="inlineStr">
        <is>
          <t>https://oracc.museum.upenn.edu/</t>
        </is>
      </c>
      <c r="V234" s="2" t="inlineStr">
        <is>
          <t>ORACC</t>
        </is>
      </c>
      <c r="W234" s="8" t="inlineStr">
        <is>
          <t>https://oracc.museum.upenn.edu/</t>
        </is>
      </c>
      <c r="X234" s="2" t="inlineStr">
        <is>
          <t>British Museum Collection</t>
        </is>
      </c>
      <c r="Y234" s="8" t="inlineStr">
        <is>
          <t>https://www.britishmuseum.org/collection</t>
        </is>
      </c>
      <c r="Z234" s="2" t="inlineStr">
        <is>
          <t>Penn Museum</t>
        </is>
      </c>
      <c r="AA234" s="8" t="inlineStr">
        <is>
          <t>https://www.penn.museum/</t>
        </is>
      </c>
      <c r="AB234" s="2" t="inlineStr">
        <is>
          <t>Pleiades</t>
        </is>
      </c>
      <c r="AC234" s="8" t="inlineStr">
        <is>
          <t>https://pleiades.stoa.org/</t>
        </is>
      </c>
      <c r="AD234" s="2" t="inlineStr">
        <is>
          <t>apkallu antediluvian sages ORACC</t>
        </is>
      </c>
      <c r="AE234" s="2" t="inlineStr">
        <is>
          <t>Treat as ritual-scholarly tradition, not biography.</t>
        </is>
      </c>
      <c r="AF234" s="2" t="inlineStr">
        <is>
          <t>Oannes; Watchers; culture heroes</t>
        </is>
      </c>
      <c r="AG234" s="2" t="inlineStr">
        <is>
          <t>Critical</t>
        </is>
      </c>
      <c r="AH234" s="2" t="inlineStr">
        <is>
          <t>High</t>
        </is>
      </c>
      <c r="AI234" s="2" t="inlineStr"/>
      <c r="AJ234" t="inlineStr">
        <is>
          <t>https://oracc.museum.upenn.edu/</t>
        </is>
      </c>
      <c r="AK234" t="inlineStr">
        <is>
          <t>https://oracc.museum.upenn.edu/</t>
        </is>
      </c>
      <c r="AL234" t="inlineStr">
        <is>
          <t>https://www.britishmuseum.org/collection/search?keyword=apkallu+antediluvian+sages+ORACC</t>
        </is>
      </c>
      <c r="AM234" t="inlineStr">
        <is>
          <t>https://www.penn.museum/</t>
        </is>
      </c>
      <c r="AN234" t="inlineStr">
        <is>
          <t>https://pleiades.stoa.org/search?SearchableText=apkallu+antediluvian+sages+ORACC</t>
        </is>
      </c>
      <c r="AO234" t="inlineStr">
        <is>
          <t>1) Fact base: ORACC. 2) Translation/text: ORACC. 3) Images/objects: British Museum Collection. 4) Context/explanation: Penn Museum. 5) Geography/maps: Pleiades. Use Suggested_Search_Term inside each portal.</t>
        </is>
      </c>
      <c r="AP234" t="inlineStr">
        <is>
          <t>Mixed: direct portal homepages plus search-result URLs where the portal exposes a public search endpoint.</t>
        </is>
      </c>
    </row>
    <row r="235">
      <c r="A235" s="2" t="n">
        <v>234</v>
      </c>
      <c r="B235" s="7" t="inlineStr">
        <is>
          <t>BCE_to_1AD</t>
        </is>
      </c>
      <c r="C235" s="2" t="inlineStr">
        <is>
          <t>Mesopotamia</t>
        </is>
      </c>
      <c r="D235" s="2" t="inlineStr">
        <is>
          <t>Akkadian</t>
        </is>
      </c>
      <c r="E235" s="2" t="n">
        <v>-700</v>
      </c>
      <c r="F235" s="2" t="n">
        <v>-100</v>
      </c>
      <c r="G235" s="2" t="inlineStr">
        <is>
          <t>Neo-Assyrian to Hellenistic copies</t>
        </is>
      </c>
      <c r="H235" s="2" t="inlineStr">
        <is>
          <t>Enūma Anu Enlil</t>
        </is>
      </c>
      <c r="I235" s="2" t="inlineStr">
        <is>
          <t>Tablet corpus</t>
        </is>
      </c>
      <c r="J235" s="2" t="inlineStr">
        <is>
          <t>scholarly tablets</t>
        </is>
      </c>
      <c r="K235" s="2" t="inlineStr">
        <is>
          <t>omens</t>
        </is>
      </c>
      <c r="L235" s="2" t="inlineStr">
        <is>
          <t>astronomy</t>
        </is>
      </c>
      <c r="M235" s="2" t="inlineStr">
        <is>
          <t>Iraq</t>
        </is>
      </c>
      <c r="N235" s="2" t="inlineStr">
        <is>
          <t>Mesopotamia</t>
        </is>
      </c>
      <c r="O235" s="2" t="inlineStr">
        <is>
          <t>Large omen series linking celestial phenomena to terrestrial outcomes.</t>
        </is>
      </c>
      <c r="P235" s="2" t="inlineStr">
        <is>
          <t>Essential for ancient sky-reading and divine-sign systems.</t>
        </is>
      </c>
      <c r="Q235" s="2" t="inlineStr">
        <is>
          <t>High</t>
        </is>
      </c>
      <c r="R235" s="2" t="inlineStr">
        <is>
          <t>Yes</t>
        </is>
      </c>
      <c r="S235" s="2" t="inlineStr">
        <is>
          <t>Medium</t>
        </is>
      </c>
      <c r="T235" s="2" t="inlineStr">
        <is>
          <t>ORACC</t>
        </is>
      </c>
      <c r="U235" s="8" t="inlineStr">
        <is>
          <t>https://oracc.museum.upenn.edu/</t>
        </is>
      </c>
      <c r="V235" s="2" t="inlineStr">
        <is>
          <t>ORACC</t>
        </is>
      </c>
      <c r="W235" s="8" t="inlineStr">
        <is>
          <t>https://oracc.museum.upenn.edu/</t>
        </is>
      </c>
      <c r="X235" s="2" t="inlineStr">
        <is>
          <t>British Museum Collection</t>
        </is>
      </c>
      <c r="Y235" s="8" t="inlineStr">
        <is>
          <t>https://www.britishmuseum.org/collection</t>
        </is>
      </c>
      <c r="Z235" s="2" t="inlineStr">
        <is>
          <t>Penn Museum</t>
        </is>
      </c>
      <c r="AA235" s="8" t="inlineStr">
        <is>
          <t>https://www.penn.museum/</t>
        </is>
      </c>
      <c r="AB235" s="2" t="inlineStr">
        <is>
          <t>Pleiades</t>
        </is>
      </c>
      <c r="AC235" s="8" t="inlineStr">
        <is>
          <t>https://pleiades.stoa.org/</t>
        </is>
      </c>
      <c r="AD235" s="2" t="inlineStr">
        <is>
          <t>Enuma Anu Enlil ORACC</t>
        </is>
      </c>
      <c r="AE235" s="2" t="inlineStr">
        <is>
          <t>Scholarly omen corpus, not a modern astronomy textbook.</t>
        </is>
      </c>
      <c r="AF235" s="2" t="inlineStr">
        <is>
          <t>MUL.APIN; Dendera ceilings; Maya almanacs</t>
        </is>
      </c>
      <c r="AG235" s="2" t="inlineStr">
        <is>
          <t>Critical</t>
        </is>
      </c>
      <c r="AH235" s="2" t="inlineStr">
        <is>
          <t>High</t>
        </is>
      </c>
      <c r="AI235" s="2" t="inlineStr"/>
      <c r="AJ235" t="inlineStr">
        <is>
          <t>https://oracc.museum.upenn.edu/</t>
        </is>
      </c>
      <c r="AK235" t="inlineStr">
        <is>
          <t>https://oracc.museum.upenn.edu/</t>
        </is>
      </c>
      <c r="AL235" t="inlineStr">
        <is>
          <t>https://www.britishmuseum.org/collection/search?keyword=Enuma+Anu+Enlil+ORACC</t>
        </is>
      </c>
      <c r="AM235" t="inlineStr">
        <is>
          <t>https://www.penn.museum/</t>
        </is>
      </c>
      <c r="AN235" t="inlineStr">
        <is>
          <t>https://pleiades.stoa.org/search?SearchableText=Enuma+Anu+Enlil+ORACC</t>
        </is>
      </c>
      <c r="AO235" t="inlineStr">
        <is>
          <t>1) Fact base: ORACC. 2) Translation/text: ORACC. 3) Images/objects: British Museum Collection. 4) Context/explanation: Penn Museum. 5) Geography/maps: Pleiades. Use Suggested_Search_Term inside each portal.</t>
        </is>
      </c>
      <c r="AP235" t="inlineStr">
        <is>
          <t>Mixed: direct portal homepages plus search-result URLs where the portal exposes a public search endpoint.</t>
        </is>
      </c>
    </row>
    <row r="236">
      <c r="A236" s="2" t="n">
        <v>235</v>
      </c>
      <c r="B236" s="7" t="inlineStr">
        <is>
          <t>BCE_to_1AD</t>
        </is>
      </c>
      <c r="C236" s="2" t="inlineStr">
        <is>
          <t>Mesopotamia</t>
        </is>
      </c>
      <c r="D236" s="2" t="inlineStr">
        <is>
          <t>Sumerian / Akkadian</t>
        </is>
      </c>
      <c r="E236" s="2" t="n">
        <v>-2600</v>
      </c>
      <c r="F236" s="2" t="n">
        <v>-500</v>
      </c>
      <c r="G236" s="2" t="inlineStr">
        <is>
          <t>3rd-1st millennium BCE</t>
        </is>
      </c>
      <c r="H236" s="2" t="inlineStr">
        <is>
          <t>Temple hymns corpus</t>
        </is>
      </c>
      <c r="I236" s="2" t="inlineStr">
        <is>
          <t>Text tradition</t>
        </is>
      </c>
      <c r="J236" s="2" t="inlineStr">
        <is>
          <t>tablet copies</t>
        </is>
      </c>
      <c r="K236" s="2" t="inlineStr">
        <is>
          <t>sacred geography</t>
        </is>
      </c>
      <c r="L236" s="2" t="inlineStr">
        <is>
          <t>city gods</t>
        </is>
      </c>
      <c r="M236" s="2" t="inlineStr">
        <is>
          <t>Iraq</t>
        </is>
      </c>
      <c r="N236" s="2" t="inlineStr">
        <is>
          <t>Mesopotamian city-states</t>
        </is>
      </c>
      <c r="O236" s="2" t="inlineStr">
        <is>
          <t>Hymnic texts describing temples, cities, gods, and their ritual importance.</t>
        </is>
      </c>
      <c r="P236" s="2" t="inlineStr">
        <is>
          <t>Useful for reconstructing sacred landscape and divine territoriality.</t>
        </is>
      </c>
      <c r="Q236" s="2" t="inlineStr">
        <is>
          <t>Medium</t>
        </is>
      </c>
      <c r="R236" s="2" t="inlineStr">
        <is>
          <t>Yes</t>
        </is>
      </c>
      <c r="S236" s="2" t="inlineStr">
        <is>
          <t>Low</t>
        </is>
      </c>
      <c r="T236" s="2" t="inlineStr">
        <is>
          <t>ETCSL</t>
        </is>
      </c>
      <c r="U236" s="8" t="inlineStr">
        <is>
          <t>https://etcsl.orinst.ox.ac.uk/</t>
        </is>
      </c>
      <c r="V236" s="2" t="inlineStr">
        <is>
          <t>ETCSL</t>
        </is>
      </c>
      <c r="W236" s="8" t="inlineStr">
        <is>
          <t>https://etcsl.orinst.ox.ac.uk/</t>
        </is>
      </c>
      <c r="X236" s="2" t="inlineStr">
        <is>
          <t>Penn Museum</t>
        </is>
      </c>
      <c r="Y236" s="8" t="inlineStr">
        <is>
          <t>https://www.penn.museum/</t>
        </is>
      </c>
      <c r="Z236" s="2" t="inlineStr">
        <is>
          <t>ORACC</t>
        </is>
      </c>
      <c r="AA236" s="8" t="inlineStr">
        <is>
          <t>https://oracc.museum.upenn.edu/</t>
        </is>
      </c>
      <c r="AB236" s="2" t="inlineStr">
        <is>
          <t>Pleiades</t>
        </is>
      </c>
      <c r="AC236" s="8" t="inlineStr">
        <is>
          <t>https://pleiades.stoa.org/</t>
        </is>
      </c>
      <c r="AD236" s="2" t="inlineStr">
        <is>
          <t>Sumerian temple hymns ETCSL</t>
        </is>
      </c>
      <c r="AE236" s="2" t="inlineStr">
        <is>
          <t>Temples are literary-religious representations as well as real institutions.</t>
        </is>
      </c>
      <c r="AF236" s="2" t="inlineStr">
        <is>
          <t>Divine cities; later sacred geographies</t>
        </is>
      </c>
      <c r="AG236" s="2" t="inlineStr">
        <is>
          <t>High</t>
        </is>
      </c>
      <c r="AH236" s="2" t="inlineStr">
        <is>
          <t>Medium</t>
        </is>
      </c>
      <c r="AI236" s="2" t="inlineStr"/>
      <c r="AJ236" t="inlineStr">
        <is>
          <t>https://etcsl.orinst.ox.ac.uk/</t>
        </is>
      </c>
      <c r="AK236" t="inlineStr">
        <is>
          <t>https://etcsl.orinst.ox.ac.uk/</t>
        </is>
      </c>
      <c r="AL236" t="inlineStr">
        <is>
          <t>https://www.penn.museum/</t>
        </is>
      </c>
      <c r="AM236" t="inlineStr">
        <is>
          <t>https://oracc.museum.upenn.edu/</t>
        </is>
      </c>
      <c r="AN236" t="inlineStr">
        <is>
          <t>https://pleiades.stoa.org/search?SearchableText=Sumerian+temple+hymns+ETCSL</t>
        </is>
      </c>
      <c r="AO236" t="inlineStr">
        <is>
          <t>1) Fact base: ETCSL. 2) Translation/text: ETCSL. 3) Images/objects: Penn Museum. 4) Context/explanation: ORACC. 5) Geography/maps: Pleiades. Use Suggested_Search_Term inside each portal.</t>
        </is>
      </c>
      <c r="AP236" t="inlineStr">
        <is>
          <t>Mixed: direct portal homepages plus search-result URLs where the portal exposes a public search endpoint.</t>
        </is>
      </c>
    </row>
    <row r="237">
      <c r="A237" s="2" t="n">
        <v>236</v>
      </c>
      <c r="B237" s="7" t="inlineStr">
        <is>
          <t>BCE_to_1AD</t>
        </is>
      </c>
      <c r="C237" s="2" t="inlineStr">
        <is>
          <t>Egypt</t>
        </is>
      </c>
      <c r="D237" s="2" t="inlineStr">
        <is>
          <t>Old Kingdom Egypt</t>
        </is>
      </c>
      <c r="E237" s="2" t="n">
        <v>-2400</v>
      </c>
      <c r="F237" s="2" t="n">
        <v>-2200</v>
      </c>
      <c r="G237" s="2" t="inlineStr">
        <is>
          <t>Old Kingdom</t>
        </is>
      </c>
      <c r="H237" s="2" t="inlineStr">
        <is>
          <t>Pyramid Texts on Atum and the primeval mound</t>
        </is>
      </c>
      <c r="I237" s="2" t="inlineStr">
        <is>
          <t>Text tradition</t>
        </is>
      </c>
      <c r="J237" s="2" t="inlineStr">
        <is>
          <t>pyramid inscriptions</t>
        </is>
      </c>
      <c r="K237" s="2" t="inlineStr">
        <is>
          <t>creation</t>
        </is>
      </c>
      <c r="L237" s="2" t="inlineStr">
        <is>
          <t>primeval mound</t>
        </is>
      </c>
      <c r="M237" s="2" t="inlineStr">
        <is>
          <t>Egypt</t>
        </is>
      </c>
      <c r="N237" s="2" t="inlineStr">
        <is>
          <t>Saqqara and other pyramids</t>
        </is>
      </c>
      <c r="O237" s="2" t="inlineStr">
        <is>
          <t>Old Kingdom funerary utterances invoking Atum, the mound, sky, and ordered cosmos.</t>
        </is>
      </c>
      <c r="P237" s="2" t="inlineStr">
        <is>
          <t>Core source for Egyptian creation language in early royal setting.</t>
        </is>
      </c>
      <c r="Q237" s="2" t="inlineStr">
        <is>
          <t>High</t>
        </is>
      </c>
      <c r="R237" s="2" t="inlineStr">
        <is>
          <t>Yes</t>
        </is>
      </c>
      <c r="S237" s="2" t="inlineStr">
        <is>
          <t>Medium</t>
        </is>
      </c>
      <c r="T237" s="2" t="inlineStr">
        <is>
          <t>TLA</t>
        </is>
      </c>
      <c r="U237" s="8" t="inlineStr">
        <is>
          <t>https://thesaurus-linguae-aegyptiae.de/</t>
        </is>
      </c>
      <c r="V237" s="2" t="inlineStr">
        <is>
          <t>TLA</t>
        </is>
      </c>
      <c r="W237" s="8" t="inlineStr">
        <is>
          <t>https://thesaurus-linguae-aegyptiae.de/</t>
        </is>
      </c>
      <c r="X237" s="2" t="inlineStr">
        <is>
          <t>Louvre Collections</t>
        </is>
      </c>
      <c r="Y237" s="8" t="inlineStr">
        <is>
          <t>https://collections.louvre.fr/</t>
        </is>
      </c>
      <c r="Z237" s="2" t="inlineStr">
        <is>
          <t>UCL Digital Egypt</t>
        </is>
      </c>
      <c r="AA237" s="8" t="inlineStr">
        <is>
          <t>https://www.ucl.ac.uk/museums-static/digitalegypt/</t>
        </is>
      </c>
      <c r="AB237" s="2" t="inlineStr">
        <is>
          <t>UNESCO</t>
        </is>
      </c>
      <c r="AC237" s="8" t="inlineStr">
        <is>
          <t>https://whc.unesco.org/</t>
        </is>
      </c>
      <c r="AD237" s="2" t="inlineStr">
        <is>
          <t>Pyramid Texts Atum primeval mound</t>
        </is>
      </c>
      <c r="AE237" s="2" t="inlineStr">
        <is>
          <t>Use utterance numbers and tomb context where possible.</t>
        </is>
      </c>
      <c r="AF237" s="2" t="inlineStr">
        <is>
          <t>Enuma Elish; Genesis 1; Heliopolitan theology</t>
        </is>
      </c>
      <c r="AG237" s="2" t="inlineStr">
        <is>
          <t>Critical</t>
        </is>
      </c>
      <c r="AH237" s="2" t="inlineStr">
        <is>
          <t>High</t>
        </is>
      </c>
      <c r="AI237" s="2" t="inlineStr"/>
      <c r="AJ237" t="inlineStr">
        <is>
          <t>https://thesaurus-linguae-aegyptiae.de/</t>
        </is>
      </c>
      <c r="AK237" t="inlineStr">
        <is>
          <t>https://thesaurus-linguae-aegyptiae.de/</t>
        </is>
      </c>
      <c r="AL237" t="inlineStr">
        <is>
          <t>https://collections.louvre.fr/en/recherche?keyword=Pyramid+Texts+Atum+primeval+mound</t>
        </is>
      </c>
      <c r="AM237" t="inlineStr">
        <is>
          <t>https://www.ucl.ac.uk/museums-static/digitalegypt/</t>
        </is>
      </c>
      <c r="AN237" t="inlineStr">
        <is>
          <t>https://whc.unesco.org/en/search/?searchterm=Pyramid+Texts+Atum+primeval+mound</t>
        </is>
      </c>
      <c r="AO237" t="inlineStr">
        <is>
          <t>1) Fact base: TLA. 2) Translation/text: TLA. 3) Images/objects: Louvre Collections. 4) Context/explanation: UCL Digital Egypt. 5) Geography/maps: UNESCO. Use Suggested_Search_Term inside each portal.</t>
        </is>
      </c>
      <c r="AP237" t="inlineStr">
        <is>
          <t>Mixed: direct portal homepages plus search-result URLs where the portal exposes a public search endpoint.</t>
        </is>
      </c>
    </row>
    <row r="238">
      <c r="A238" s="2" t="n">
        <v>237</v>
      </c>
      <c r="B238" s="7" t="inlineStr">
        <is>
          <t>BCE_to_1AD</t>
        </is>
      </c>
      <c r="C238" s="2" t="inlineStr">
        <is>
          <t>Egypt</t>
        </is>
      </c>
      <c r="D238" s="2" t="inlineStr">
        <is>
          <t>Late Period Egypt</t>
        </is>
      </c>
      <c r="E238" s="2" t="n">
        <v>-700</v>
      </c>
      <c r="F238" s="2" t="n">
        <v>-300</v>
      </c>
      <c r="G238" s="2" t="inlineStr">
        <is>
          <t>Late Period copies of older theology</t>
        </is>
      </c>
      <c r="H238" s="2" t="inlineStr">
        <is>
          <t>Shabaka Stone / Memphite Theology</t>
        </is>
      </c>
      <c r="I238" s="2" t="inlineStr">
        <is>
          <t>Inscription</t>
        </is>
      </c>
      <c r="J238" s="2" t="inlineStr">
        <is>
          <t>stone inscription</t>
        </is>
      </c>
      <c r="K238" s="2" t="inlineStr">
        <is>
          <t>creation by speech</t>
        </is>
      </c>
      <c r="L238" s="2" t="inlineStr">
        <is>
          <t>Ptah theology</t>
        </is>
      </c>
      <c r="M238" s="2" t="inlineStr">
        <is>
          <t>Egypt</t>
        </is>
      </c>
      <c r="N238" s="2" t="inlineStr">
        <is>
          <t>Memphis</t>
        </is>
      </c>
      <c r="O238" s="2" t="inlineStr">
        <is>
          <t>Stone preserving theology in which Ptah creates through heart and tongue.</t>
        </is>
      </c>
      <c r="P238" s="2" t="inlineStr">
        <is>
          <t>Crucial for divine speech/word creation comparisons.</t>
        </is>
      </c>
      <c r="Q238" s="2" t="inlineStr">
        <is>
          <t>High</t>
        </is>
      </c>
      <c r="R238" s="2" t="inlineStr">
        <is>
          <t>Yes</t>
        </is>
      </c>
      <c r="S238" s="2" t="inlineStr">
        <is>
          <t>Yes</t>
        </is>
      </c>
      <c r="T238" s="2" t="inlineStr">
        <is>
          <t>TLA</t>
        </is>
      </c>
      <c r="U238" s="8" t="inlineStr">
        <is>
          <t>https://thesaurus-linguae-aegyptiae.de/</t>
        </is>
      </c>
      <c r="V238" s="2" t="inlineStr">
        <is>
          <t>TLA</t>
        </is>
      </c>
      <c r="W238" s="8" t="inlineStr">
        <is>
          <t>https://thesaurus-linguae-aegyptiae.de/</t>
        </is>
      </c>
      <c r="X238" s="2" t="inlineStr">
        <is>
          <t>British Museum Collection</t>
        </is>
      </c>
      <c r="Y238" s="8" t="inlineStr">
        <is>
          <t>https://www.britishmuseum.org/collection</t>
        </is>
      </c>
      <c r="Z238" s="2" t="inlineStr">
        <is>
          <t>UCL Digital Egypt</t>
        </is>
      </c>
      <c r="AA238" s="8" t="inlineStr">
        <is>
          <t>https://www.ucl.ac.uk/museums-static/digitalegypt/</t>
        </is>
      </c>
      <c r="AB238" s="2" t="inlineStr">
        <is>
          <t>UNESCO</t>
        </is>
      </c>
      <c r="AC238" s="8" t="inlineStr">
        <is>
          <t>https://whc.unesco.org/</t>
        </is>
      </c>
      <c r="AD238" s="2" t="inlineStr">
        <is>
          <t>Shabaka Stone Ptah heart tongue</t>
        </is>
      </c>
      <c r="AE238" s="2" t="inlineStr">
        <is>
          <t>Inscription is later copy claiming older source; note transmission issue.</t>
        </is>
      </c>
      <c r="AF238" s="2" t="inlineStr">
        <is>
          <t>Genesis 1; Logos themes; Vedic speech</t>
        </is>
      </c>
      <c r="AG238" s="2" t="inlineStr">
        <is>
          <t>Critical</t>
        </is>
      </c>
      <c r="AH238" s="2" t="inlineStr">
        <is>
          <t>High</t>
        </is>
      </c>
      <c r="AI238" s="2" t="inlineStr"/>
      <c r="AJ238" t="inlineStr">
        <is>
          <t>https://thesaurus-linguae-aegyptiae.de/</t>
        </is>
      </c>
      <c r="AK238" t="inlineStr">
        <is>
          <t>https://thesaurus-linguae-aegyptiae.de/</t>
        </is>
      </c>
      <c r="AL238" t="inlineStr">
        <is>
          <t>https://www.britishmuseum.org/collection/search?keyword=Shabaka+Stone+Ptah+heart+tongue</t>
        </is>
      </c>
      <c r="AM238" t="inlineStr">
        <is>
          <t>https://www.ucl.ac.uk/museums-static/digitalegypt/</t>
        </is>
      </c>
      <c r="AN238" t="inlineStr">
        <is>
          <t>https://whc.unesco.org/en/search/?searchterm=Shabaka+Stone+Ptah+heart+tongue</t>
        </is>
      </c>
      <c r="AO238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238" t="inlineStr">
        <is>
          <t>Mixed: direct portal homepages plus search-result URLs where the portal exposes a public search endpoint.</t>
        </is>
      </c>
    </row>
    <row r="239">
      <c r="A239" s="2" t="n">
        <v>238</v>
      </c>
      <c r="B239" s="7" t="inlineStr">
        <is>
          <t>BCE_to_1AD</t>
        </is>
      </c>
      <c r="C239" s="2" t="inlineStr">
        <is>
          <t>Egypt</t>
        </is>
      </c>
      <c r="D239" s="2" t="inlineStr">
        <is>
          <t>Middle Kingdom Egypt</t>
        </is>
      </c>
      <c r="E239" s="2" t="n">
        <v>-2000</v>
      </c>
      <c r="F239" s="2" t="n">
        <v>-1700</v>
      </c>
      <c r="G239" s="2" t="inlineStr">
        <is>
          <t>Middle Kingdom</t>
        </is>
      </c>
      <c r="H239" s="2" t="inlineStr">
        <is>
          <t>Coffin Texts creation spells</t>
        </is>
      </c>
      <c r="I239" s="2" t="inlineStr">
        <is>
          <t>Text tradition</t>
        </is>
      </c>
      <c r="J239" s="2" t="inlineStr">
        <is>
          <t>coffin inscriptions</t>
        </is>
      </c>
      <c r="K239" s="2" t="inlineStr">
        <is>
          <t>creation</t>
        </is>
      </c>
      <c r="L239" s="2" t="inlineStr">
        <is>
          <t>afterlife cosmology</t>
        </is>
      </c>
      <c r="M239" s="2" t="inlineStr">
        <is>
          <t>Egypt</t>
        </is>
      </c>
      <c r="N239" s="2" t="inlineStr">
        <is>
          <t>Middle Egypt</t>
        </is>
      </c>
      <c r="O239" s="2" t="inlineStr">
        <is>
          <t>Coffin Text spells preserving creation motifs and the structure of the cosmos within funerary use.</t>
        </is>
      </c>
      <c r="P239" s="2" t="inlineStr">
        <is>
          <t>Expands creation language beyond the royal pyramid setting.</t>
        </is>
      </c>
      <c r="Q239" s="2" t="inlineStr">
        <is>
          <t>Medium</t>
        </is>
      </c>
      <c r="R239" s="2" t="inlineStr">
        <is>
          <t>Yes</t>
        </is>
      </c>
      <c r="S239" s="2" t="inlineStr">
        <is>
          <t>Medium</t>
        </is>
      </c>
      <c r="T239" s="2" t="inlineStr">
        <is>
          <t>TLA</t>
        </is>
      </c>
      <c r="U239" s="8" t="inlineStr">
        <is>
          <t>https://thesaurus-linguae-aegyptiae.de/</t>
        </is>
      </c>
      <c r="V239" s="2" t="inlineStr">
        <is>
          <t>TLA</t>
        </is>
      </c>
      <c r="W239" s="8" t="inlineStr">
        <is>
          <t>https://thesaurus-linguae-aegyptiae.de/</t>
        </is>
      </c>
      <c r="X239" s="2" t="inlineStr">
        <is>
          <t>British Museum Collection</t>
        </is>
      </c>
      <c r="Y239" s="8" t="inlineStr">
        <is>
          <t>https://www.britishmuseum.org/collection</t>
        </is>
      </c>
      <c r="Z239" s="2" t="inlineStr">
        <is>
          <t>UCL Digital Egypt</t>
        </is>
      </c>
      <c r="AA239" s="8" t="inlineStr">
        <is>
          <t>https://www.ucl.ac.uk/museums-static/digitalegypt/</t>
        </is>
      </c>
      <c r="AB239" s="2" t="inlineStr">
        <is>
          <t>UNESCO</t>
        </is>
      </c>
      <c r="AC239" s="8" t="inlineStr">
        <is>
          <t>https://whc.unesco.org/</t>
        </is>
      </c>
      <c r="AD239" s="2" t="inlineStr">
        <is>
          <t>Coffin Texts creation spells</t>
        </is>
      </c>
      <c r="AE239" s="2" t="inlineStr">
        <is>
          <t>Funerary setting colors the cosmology.</t>
        </is>
      </c>
      <c r="AF239" s="2" t="inlineStr">
        <is>
          <t>Pyramid Texts; Book of the Dead</t>
        </is>
      </c>
      <c r="AG239" s="2" t="inlineStr">
        <is>
          <t>High</t>
        </is>
      </c>
      <c r="AH239" s="2" t="inlineStr">
        <is>
          <t>Medium</t>
        </is>
      </c>
      <c r="AI239" s="2" t="inlineStr"/>
      <c r="AJ239" t="inlineStr">
        <is>
          <t>https://thesaurus-linguae-aegyptiae.de/</t>
        </is>
      </c>
      <c r="AK239" t="inlineStr">
        <is>
          <t>https://thesaurus-linguae-aegyptiae.de/</t>
        </is>
      </c>
      <c r="AL239" t="inlineStr">
        <is>
          <t>https://www.britishmuseum.org/collection/search?keyword=Coffin+Texts+creation+spells</t>
        </is>
      </c>
      <c r="AM239" t="inlineStr">
        <is>
          <t>https://www.ucl.ac.uk/museums-static/digitalegypt/</t>
        </is>
      </c>
      <c r="AN239" t="inlineStr">
        <is>
          <t>https://whc.unesco.org/en/search/?searchterm=Coffin+Texts+creation+spells</t>
        </is>
      </c>
      <c r="AO239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239" t="inlineStr">
        <is>
          <t>Mixed: direct portal homepages plus search-result URLs where the portal exposes a public search endpoint.</t>
        </is>
      </c>
    </row>
    <row r="240">
      <c r="A240" s="2" t="n">
        <v>239</v>
      </c>
      <c r="B240" s="7" t="inlineStr">
        <is>
          <t>BCE_to_1AD</t>
        </is>
      </c>
      <c r="C240" s="2" t="inlineStr">
        <is>
          <t>Egypt</t>
        </is>
      </c>
      <c r="D240" s="2" t="inlineStr">
        <is>
          <t>New Kingdom Egypt</t>
        </is>
      </c>
      <c r="E240" s="2" t="n">
        <v>-1550</v>
      </c>
      <c r="F240" s="2" t="n">
        <v>-1070</v>
      </c>
      <c r="G240" s="2" t="inlineStr">
        <is>
          <t>New Kingdom</t>
        </is>
      </c>
      <c r="H240" s="2" t="inlineStr">
        <is>
          <t>Book of the Amduat</t>
        </is>
      </c>
      <c r="I240" s="2" t="inlineStr">
        <is>
          <t>Text tradition</t>
        </is>
      </c>
      <c r="J240" s="2" t="inlineStr">
        <is>
          <t>tomb walls + papyri</t>
        </is>
      </c>
      <c r="K240" s="2" t="inlineStr">
        <is>
          <t>solar cycle</t>
        </is>
      </c>
      <c r="L240" s="2" t="inlineStr">
        <is>
          <t>underworld renewal</t>
        </is>
      </c>
      <c r="M240" s="2" t="inlineStr">
        <is>
          <t>Egypt</t>
        </is>
      </c>
      <c r="N240" s="2" t="inlineStr">
        <is>
          <t>Thebes</t>
        </is>
      </c>
      <c r="O240" s="2" t="inlineStr">
        <is>
          <t>Royal underworld book charting the sun-god’s nocturnal journey and daily rebirth.</t>
        </is>
      </c>
      <c r="P240" s="2" t="inlineStr">
        <is>
          <t>Important for cyclical renewal rather than one-time apocalypse.</t>
        </is>
      </c>
      <c r="Q240" s="2" t="inlineStr">
        <is>
          <t>Medium</t>
        </is>
      </c>
      <c r="R240" s="2" t="inlineStr">
        <is>
          <t>Yes</t>
        </is>
      </c>
      <c r="S240" s="2" t="inlineStr">
        <is>
          <t>Yes</t>
        </is>
      </c>
      <c r="T240" s="2" t="inlineStr">
        <is>
          <t>TLA</t>
        </is>
      </c>
      <c r="U240" s="8" t="inlineStr">
        <is>
          <t>https://thesaurus-linguae-aegyptiae.de/</t>
        </is>
      </c>
      <c r="V240" s="2" t="inlineStr">
        <is>
          <t>TLA</t>
        </is>
      </c>
      <c r="W240" s="8" t="inlineStr">
        <is>
          <t>https://thesaurus-linguae-aegyptiae.de/</t>
        </is>
      </c>
      <c r="X240" s="2" t="inlineStr">
        <is>
          <t>British Museum Collection</t>
        </is>
      </c>
      <c r="Y240" s="8" t="inlineStr">
        <is>
          <t>https://www.britishmuseum.org/collection</t>
        </is>
      </c>
      <c r="Z240" s="2" t="inlineStr">
        <is>
          <t>UCL Digital Egypt</t>
        </is>
      </c>
      <c r="AA240" s="8" t="inlineStr">
        <is>
          <t>https://www.ucl.ac.uk/museums-static/digitalegypt/</t>
        </is>
      </c>
      <c r="AB240" s="2" t="inlineStr">
        <is>
          <t>UNESCO</t>
        </is>
      </c>
      <c r="AC240" s="8" t="inlineStr">
        <is>
          <t>https://whc.unesco.org/</t>
        </is>
      </c>
      <c r="AD240" s="2" t="inlineStr">
        <is>
          <t>Amduat solar rebirth</t>
        </is>
      </c>
      <c r="AE240" s="2" t="inlineStr">
        <is>
          <t>Cosmographic royal text, not a creation account strictly speaking.</t>
        </is>
      </c>
      <c r="AF240" s="2" t="inlineStr">
        <is>
          <t>Afterlife cycles; rebirth cosmologies</t>
        </is>
      </c>
      <c r="AG240" s="2" t="inlineStr">
        <is>
          <t>High</t>
        </is>
      </c>
      <c r="AH240" s="2" t="inlineStr">
        <is>
          <t>Medium</t>
        </is>
      </c>
      <c r="AI240" s="2" t="inlineStr"/>
      <c r="AJ240" t="inlineStr">
        <is>
          <t>https://thesaurus-linguae-aegyptiae.de/</t>
        </is>
      </c>
      <c r="AK240" t="inlineStr">
        <is>
          <t>https://thesaurus-linguae-aegyptiae.de/</t>
        </is>
      </c>
      <c r="AL240" t="inlineStr">
        <is>
          <t>https://www.britishmuseum.org/collection/search?keyword=Amduat+solar+rebirth</t>
        </is>
      </c>
      <c r="AM240" t="inlineStr">
        <is>
          <t>https://www.ucl.ac.uk/museums-static/digitalegypt/</t>
        </is>
      </c>
      <c r="AN240" t="inlineStr">
        <is>
          <t>https://whc.unesco.org/en/search/?searchterm=Amduat+solar+rebirth</t>
        </is>
      </c>
      <c r="AO240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240" t="inlineStr">
        <is>
          <t>Mixed: direct portal homepages plus search-result URLs where the portal exposes a public search endpoint.</t>
        </is>
      </c>
    </row>
    <row r="241">
      <c r="A241" s="2" t="n">
        <v>240</v>
      </c>
      <c r="B241" s="7" t="inlineStr">
        <is>
          <t>BCE_to_1AD</t>
        </is>
      </c>
      <c r="C241" s="2" t="inlineStr">
        <is>
          <t>Egypt</t>
        </is>
      </c>
      <c r="D241" s="2" t="inlineStr">
        <is>
          <t>Amarna Egypt</t>
        </is>
      </c>
      <c r="E241" s="2" t="n">
        <v>-1350</v>
      </c>
      <c r="F241" s="2" t="n">
        <v>-1330</v>
      </c>
      <c r="G241" s="2" t="inlineStr">
        <is>
          <t>Amarna Period</t>
        </is>
      </c>
      <c r="H241" s="2" t="inlineStr">
        <is>
          <t>Great Hymn to the Aten</t>
        </is>
      </c>
      <c r="I241" s="2" t="inlineStr">
        <is>
          <t>Text</t>
        </is>
      </c>
      <c r="J241" s="2" t="inlineStr">
        <is>
          <t>tomb inscription</t>
        </is>
      </c>
      <c r="K241" s="2" t="inlineStr">
        <is>
          <t>creator god</t>
        </is>
      </c>
      <c r="L241" s="2" t="inlineStr">
        <is>
          <t>cosmic sustenance</t>
        </is>
      </c>
      <c r="M241" s="2" t="inlineStr">
        <is>
          <t>Egypt</t>
        </is>
      </c>
      <c r="N241" s="2" t="inlineStr">
        <is>
          <t>Amarna</t>
        </is>
      </c>
      <c r="O241" s="2" t="inlineStr">
        <is>
          <t>Hymnic text presenting Aten as universal life-giver whose light sustains all lands.</t>
        </is>
      </c>
      <c r="P241" s="2" t="inlineStr">
        <is>
          <t>Important for monolatry/solar-universal creation themes.</t>
        </is>
      </c>
      <c r="Q241" s="2" t="inlineStr">
        <is>
          <t>Medium</t>
        </is>
      </c>
      <c r="R241" s="2" t="inlineStr">
        <is>
          <t>Yes</t>
        </is>
      </c>
      <c r="S241" s="2" t="inlineStr">
        <is>
          <t>Yes</t>
        </is>
      </c>
      <c r="T241" s="2" t="inlineStr">
        <is>
          <t>TLA</t>
        </is>
      </c>
      <c r="U241" s="8" t="inlineStr">
        <is>
          <t>https://thesaurus-linguae-aegyptiae.de/</t>
        </is>
      </c>
      <c r="V241" s="2" t="inlineStr">
        <is>
          <t>TLA</t>
        </is>
      </c>
      <c r="W241" s="8" t="inlineStr">
        <is>
          <t>https://thesaurus-linguae-aegyptiae.de/</t>
        </is>
      </c>
      <c r="X241" s="2" t="inlineStr">
        <is>
          <t>British Museum Collection</t>
        </is>
      </c>
      <c r="Y241" s="8" t="inlineStr">
        <is>
          <t>https://www.britishmuseum.org/collection</t>
        </is>
      </c>
      <c r="Z241" s="2" t="inlineStr">
        <is>
          <t>UCL Digital Egypt</t>
        </is>
      </c>
      <c r="AA241" s="8" t="inlineStr">
        <is>
          <t>https://www.ucl.ac.uk/museums-static/digitalegypt/</t>
        </is>
      </c>
      <c r="AB241" s="2" t="inlineStr">
        <is>
          <t>UNESCO</t>
        </is>
      </c>
      <c r="AC241" s="8" t="inlineStr">
        <is>
          <t>https://whc.unesco.org/</t>
        </is>
      </c>
      <c r="AD241" s="2" t="inlineStr">
        <is>
          <t>Great Hymn to the Aten</t>
        </is>
      </c>
      <c r="AE241" s="2" t="inlineStr">
        <is>
          <t>Context is Amarna state religion and royal ideology.</t>
        </is>
      </c>
      <c r="AF241" s="2" t="inlineStr">
        <is>
          <t>Sun as creator; divine sustenance</t>
        </is>
      </c>
      <c r="AG241" s="2" t="inlineStr">
        <is>
          <t>High</t>
        </is>
      </c>
      <c r="AH241" s="2" t="inlineStr">
        <is>
          <t>Medium</t>
        </is>
      </c>
      <c r="AI241" s="2" t="inlineStr"/>
      <c r="AJ241" t="inlineStr">
        <is>
          <t>https://thesaurus-linguae-aegyptiae.de/</t>
        </is>
      </c>
      <c r="AK241" t="inlineStr">
        <is>
          <t>https://thesaurus-linguae-aegyptiae.de/</t>
        </is>
      </c>
      <c r="AL241" t="inlineStr">
        <is>
          <t>https://www.britishmuseum.org/collection/search?keyword=Great+Hymn+to+the+Aten</t>
        </is>
      </c>
      <c r="AM241" t="inlineStr">
        <is>
          <t>https://www.ucl.ac.uk/museums-static/digitalegypt/</t>
        </is>
      </c>
      <c r="AN241" t="inlineStr">
        <is>
          <t>https://whc.unesco.org/en/search/?searchterm=Great+Hymn+to+the+Aten</t>
        </is>
      </c>
      <c r="AO241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241" t="inlineStr">
        <is>
          <t>Mixed: direct portal homepages plus search-result URLs where the portal exposes a public search endpoint.</t>
        </is>
      </c>
    </row>
    <row r="242">
      <c r="A242" s="2" t="n">
        <v>241</v>
      </c>
      <c r="B242" s="7" t="inlineStr">
        <is>
          <t>BCE_to_1AD</t>
        </is>
      </c>
      <c r="C242" s="2" t="inlineStr">
        <is>
          <t>Egypt</t>
        </is>
      </c>
      <c r="D242" s="2" t="inlineStr">
        <is>
          <t>Late Period / Ptolemaic Egypt</t>
        </is>
      </c>
      <c r="E242" s="2" t="n">
        <v>-300</v>
      </c>
      <c r="F242" s="2" t="n">
        <v>-50</v>
      </c>
      <c r="G242" s="2" t="inlineStr">
        <is>
          <t>Late BCE</t>
        </is>
      </c>
      <c r="H242" s="2" t="inlineStr">
        <is>
          <t>Edfu creation texts</t>
        </is>
      </c>
      <c r="I242" s="2" t="inlineStr">
        <is>
          <t>Inscription corpus</t>
        </is>
      </c>
      <c r="J242" s="2" t="inlineStr">
        <is>
          <t>temple walls</t>
        </is>
      </c>
      <c r="K242" s="2" t="inlineStr">
        <is>
          <t>creation</t>
        </is>
      </c>
      <c r="L242" s="2" t="inlineStr">
        <is>
          <t>sacred geography</t>
        </is>
      </c>
      <c r="M242" s="2" t="inlineStr">
        <is>
          <t>Egypt</t>
        </is>
      </c>
      <c r="N242" s="2" t="inlineStr">
        <is>
          <t>Edfu</t>
        </is>
      </c>
      <c r="O242" s="2" t="inlineStr">
        <is>
          <t>Temple inscriptions preserving priestly cosmology, divine kingship, and sacred place-making.</t>
        </is>
      </c>
      <c r="P242" s="2" t="inlineStr">
        <is>
          <t>Often cited by alternative-history writers; best handled via direct epigraphic context.</t>
        </is>
      </c>
      <c r="Q242" s="2" t="inlineStr">
        <is>
          <t>High</t>
        </is>
      </c>
      <c r="R242" s="2" t="inlineStr">
        <is>
          <t>Yes</t>
        </is>
      </c>
      <c r="S242" s="2" t="inlineStr">
        <is>
          <t>Yes</t>
        </is>
      </c>
      <c r="T242" s="2" t="inlineStr">
        <is>
          <t>TLA</t>
        </is>
      </c>
      <c r="U242" s="8" t="inlineStr">
        <is>
          <t>https://thesaurus-linguae-aegyptiae.de/</t>
        </is>
      </c>
      <c r="V242" s="2" t="inlineStr">
        <is>
          <t>TLA</t>
        </is>
      </c>
      <c r="W242" s="8" t="inlineStr">
        <is>
          <t>https://thesaurus-linguae-aegyptiae.de/</t>
        </is>
      </c>
      <c r="X242" s="2" t="inlineStr">
        <is>
          <t>British Museum Collection</t>
        </is>
      </c>
      <c r="Y242" s="8" t="inlineStr">
        <is>
          <t>https://www.britishmuseum.org/collection</t>
        </is>
      </c>
      <c r="Z242" s="2" t="inlineStr">
        <is>
          <t>UCL Digital Egypt</t>
        </is>
      </c>
      <c r="AA242" s="8" t="inlineStr">
        <is>
          <t>https://www.ucl.ac.uk/museums-static/digitalegypt/</t>
        </is>
      </c>
      <c r="AB242" s="2" t="inlineStr">
        <is>
          <t>UNESCO</t>
        </is>
      </c>
      <c r="AC242" s="8" t="inlineStr">
        <is>
          <t>https://whc.unesco.org/</t>
        </is>
      </c>
      <c r="AD242" s="2" t="inlineStr">
        <is>
          <t>Edfu creation texts primeval island</t>
        </is>
      </c>
      <c r="AE242" s="2" t="inlineStr">
        <is>
          <t>Late temple theology preserving older motifs; date the inscription itself.</t>
        </is>
      </c>
      <c r="AF242" s="2" t="inlineStr">
        <is>
          <t>Primeval island; Zep Tepi discourse</t>
        </is>
      </c>
      <c r="AG242" s="2" t="inlineStr">
        <is>
          <t>Critical</t>
        </is>
      </c>
      <c r="AH242" s="2" t="inlineStr">
        <is>
          <t>High</t>
        </is>
      </c>
      <c r="AI242" s="2" t="inlineStr"/>
      <c r="AJ242" t="inlineStr">
        <is>
          <t>https://thesaurus-linguae-aegyptiae.de/</t>
        </is>
      </c>
      <c r="AK242" t="inlineStr">
        <is>
          <t>https://thesaurus-linguae-aegyptiae.de/</t>
        </is>
      </c>
      <c r="AL242" t="inlineStr">
        <is>
          <t>https://www.britishmuseum.org/collection/search?keyword=Edfu+creation+texts+primeval+island</t>
        </is>
      </c>
      <c r="AM242" t="inlineStr">
        <is>
          <t>https://www.ucl.ac.uk/museums-static/digitalegypt/</t>
        </is>
      </c>
      <c r="AN242" t="inlineStr">
        <is>
          <t>https://whc.unesco.org/en/search/?searchterm=Edfu+creation+texts+primeval+island</t>
        </is>
      </c>
      <c r="AO242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242" t="inlineStr">
        <is>
          <t>Mixed: direct portal homepages plus search-result URLs where the portal exposes a public search endpoint.</t>
        </is>
      </c>
    </row>
    <row r="243">
      <c r="A243" s="2" t="n">
        <v>242</v>
      </c>
      <c r="B243" s="7" t="inlineStr">
        <is>
          <t>BCE_to_1AD</t>
        </is>
      </c>
      <c r="C243" s="2" t="inlineStr">
        <is>
          <t>Egypt</t>
        </is>
      </c>
      <c r="D243" s="2" t="inlineStr">
        <is>
          <t>Late Period Egypt</t>
        </is>
      </c>
      <c r="E243" s="2" t="n">
        <v>-700</v>
      </c>
      <c r="F243" s="2" t="n">
        <v>-300</v>
      </c>
      <c r="G243" s="2" t="inlineStr">
        <is>
          <t>Late Period</t>
        </is>
      </c>
      <c r="H243" s="2" t="inlineStr">
        <is>
          <t>Book of the Heavenly Cow</t>
        </is>
      </c>
      <c r="I243" s="2" t="inlineStr">
        <is>
          <t>Text tradition</t>
        </is>
      </c>
      <c r="J243" s="2" t="inlineStr">
        <is>
          <t>tomb/temple copies</t>
        </is>
      </c>
      <c r="K243" s="2" t="inlineStr">
        <is>
          <t>catastrophe</t>
        </is>
      </c>
      <c r="L243" s="2" t="inlineStr">
        <is>
          <t>human-divine separation</t>
        </is>
      </c>
      <c r="M243" s="2" t="inlineStr">
        <is>
          <t>Egypt</t>
        </is>
      </c>
      <c r="N243" s="2" t="inlineStr">
        <is>
          <t>Egypt</t>
        </is>
      </c>
      <c r="O243" s="2" t="inlineStr">
        <is>
          <t>Narrative about divine withdrawal and punishment after human rebellion against the sun god.</t>
        </is>
      </c>
      <c r="P243" s="2" t="inlineStr">
        <is>
          <t>One of the clearest Egyptian catastrophe-and-reset texts.</t>
        </is>
      </c>
      <c r="Q243" s="2" t="inlineStr">
        <is>
          <t>High</t>
        </is>
      </c>
      <c r="R243" s="2" t="inlineStr">
        <is>
          <t>Yes</t>
        </is>
      </c>
      <c r="S243" s="2" t="inlineStr">
        <is>
          <t>Medium</t>
        </is>
      </c>
      <c r="T243" s="2" t="inlineStr">
        <is>
          <t>TLA</t>
        </is>
      </c>
      <c r="U243" s="8" t="inlineStr">
        <is>
          <t>https://thesaurus-linguae-aegyptiae.de/</t>
        </is>
      </c>
      <c r="V243" s="2" t="inlineStr">
        <is>
          <t>TLA</t>
        </is>
      </c>
      <c r="W243" s="8" t="inlineStr">
        <is>
          <t>https://thesaurus-linguae-aegyptiae.de/</t>
        </is>
      </c>
      <c r="X243" s="2" t="inlineStr">
        <is>
          <t>British Museum Collection</t>
        </is>
      </c>
      <c r="Y243" s="8" t="inlineStr">
        <is>
          <t>https://www.britishmuseum.org/collection</t>
        </is>
      </c>
      <c r="Z243" s="2" t="inlineStr">
        <is>
          <t>UCL Digital Egypt</t>
        </is>
      </c>
      <c r="AA243" s="8" t="inlineStr">
        <is>
          <t>https://www.ucl.ac.uk/museums-static/digitalegypt/</t>
        </is>
      </c>
      <c r="AB243" s="2" t="inlineStr">
        <is>
          <t>UNESCO</t>
        </is>
      </c>
      <c r="AC243" s="8" t="inlineStr">
        <is>
          <t>https://whc.unesco.org/</t>
        </is>
      </c>
      <c r="AD243" s="2" t="inlineStr">
        <is>
          <t>Book of the Heavenly Cow</t>
        </is>
      </c>
      <c r="AE243" s="2" t="inlineStr">
        <is>
          <t>Not a flood story; useful as a control for other reset motifs.</t>
        </is>
      </c>
      <c r="AF243" s="2" t="inlineStr">
        <is>
          <t>Flood vs rebellion reset; divine withdrawal</t>
        </is>
      </c>
      <c r="AG243" s="2" t="inlineStr">
        <is>
          <t>Critical</t>
        </is>
      </c>
      <c r="AH243" s="2" t="inlineStr">
        <is>
          <t>High</t>
        </is>
      </c>
      <c r="AI243" s="2" t="inlineStr"/>
      <c r="AJ243" t="inlineStr">
        <is>
          <t>https://thesaurus-linguae-aegyptiae.de/</t>
        </is>
      </c>
      <c r="AK243" t="inlineStr">
        <is>
          <t>https://thesaurus-linguae-aegyptiae.de/</t>
        </is>
      </c>
      <c r="AL243" t="inlineStr">
        <is>
          <t>https://www.britishmuseum.org/collection/search?keyword=Book+of+the+Heavenly+Cow</t>
        </is>
      </c>
      <c r="AM243" t="inlineStr">
        <is>
          <t>https://www.ucl.ac.uk/museums-static/digitalegypt/</t>
        </is>
      </c>
      <c r="AN243" t="inlineStr">
        <is>
          <t>https://whc.unesco.org/en/search/?searchterm=Book+of+the+Heavenly+Cow</t>
        </is>
      </c>
      <c r="AO243" t="inlineStr">
        <is>
          <t>1) Fact base: TLA. 2) Translation/text: TLA. 3) Images/objects: British Museum Collection. 4) Context/explanation: UCL Digital Egypt. 5) Geography/maps: UNESCO. Use Suggested_Search_Term inside each portal.</t>
        </is>
      </c>
      <c r="AP243" t="inlineStr">
        <is>
          <t>Mixed: direct portal homepages plus search-result URLs where the portal exposes a public search endpoint.</t>
        </is>
      </c>
    </row>
    <row r="244">
      <c r="A244" s="2" t="n">
        <v>243</v>
      </c>
      <c r="B244" s="7" t="inlineStr">
        <is>
          <t>BCE_to_1AD</t>
        </is>
      </c>
      <c r="C244" s="2" t="inlineStr">
        <is>
          <t>Levant / Israel / Phoenicia</t>
        </is>
      </c>
      <c r="D244" s="2" t="inlineStr">
        <is>
          <t>Ugaritic</t>
        </is>
      </c>
      <c r="E244" s="2" t="n">
        <v>-1400</v>
      </c>
      <c r="F244" s="2" t="n">
        <v>-1200</v>
      </c>
      <c r="G244" s="2" t="inlineStr">
        <is>
          <t>Late Bronze Age</t>
        </is>
      </c>
      <c r="H244" s="2" t="inlineStr">
        <is>
          <t>Baal Cycle</t>
        </is>
      </c>
      <c r="I244" s="2" t="inlineStr">
        <is>
          <t>Tablet corpus</t>
        </is>
      </c>
      <c r="J244" s="2" t="inlineStr">
        <is>
          <t>cuneiform tablets</t>
        </is>
      </c>
      <c r="K244" s="2" t="inlineStr">
        <is>
          <t>storm god</t>
        </is>
      </c>
      <c r="L244" s="2" t="inlineStr">
        <is>
          <t>creation / order</t>
        </is>
      </c>
      <c r="M244" s="2" t="inlineStr">
        <is>
          <t>Syria</t>
        </is>
      </c>
      <c r="N244" s="2" t="inlineStr">
        <is>
          <t>Ugarit / Ras Shamra</t>
        </is>
      </c>
      <c r="O244" s="2" t="inlineStr">
        <is>
          <t>Ugaritic myth cycle involving Baal, Yam, Mot, kingship, storm, and cosmic order.</t>
        </is>
      </c>
      <c r="P244" s="2" t="inlineStr">
        <is>
          <t>Essential comparator for divine combat and ordered cosmos in the Levant.</t>
        </is>
      </c>
      <c r="Q244" s="2" t="inlineStr">
        <is>
          <t>High</t>
        </is>
      </c>
      <c r="R244" s="2" t="inlineStr">
        <is>
          <t>Yes</t>
        </is>
      </c>
      <c r="S244" s="2" t="inlineStr">
        <is>
          <t>Medium</t>
        </is>
      </c>
      <c r="T244" s="2" t="inlineStr">
        <is>
          <t>British Museum Collection</t>
        </is>
      </c>
      <c r="U244" s="8" t="inlineStr">
        <is>
          <t>https://www.britishmuseum.org/collection</t>
        </is>
      </c>
      <c r="V244" s="2" t="inlineStr">
        <is>
          <t>Internet Archive</t>
        </is>
      </c>
      <c r="W244" s="8" t="inlineStr">
        <is>
          <t>https://archive.org/</t>
        </is>
      </c>
      <c r="X244" s="2" t="inlineStr">
        <is>
          <t>British Museum Collection</t>
        </is>
      </c>
      <c r="Y244" s="8" t="inlineStr">
        <is>
          <t>https://www.britishmuseum.org/collection</t>
        </is>
      </c>
      <c r="Z244" s="2" t="inlineStr">
        <is>
          <t>UNESCO</t>
        </is>
      </c>
      <c r="AA244" s="8" t="inlineStr">
        <is>
          <t>https://whc.unesco.org/</t>
        </is>
      </c>
      <c r="AB244" s="2" t="inlineStr">
        <is>
          <t>Pleiades</t>
        </is>
      </c>
      <c r="AC244" s="8" t="inlineStr">
        <is>
          <t>https://pleiades.stoa.org/</t>
        </is>
      </c>
      <c r="AD244" s="2" t="inlineStr">
        <is>
          <t>Baal Cycle Ugarit translation</t>
        </is>
      </c>
      <c r="AE244" s="2" t="inlineStr">
        <is>
          <t>Use modern critical translations where possible; object pages for tablets may be scattered.</t>
        </is>
      </c>
      <c r="AF244" s="2" t="inlineStr">
        <is>
          <t>Enuma Elish; Psalms; Zeus vs Typhon motifs</t>
        </is>
      </c>
      <c r="AG244" s="2" t="inlineStr">
        <is>
          <t>Critical</t>
        </is>
      </c>
      <c r="AH244" s="2" t="inlineStr">
        <is>
          <t>High</t>
        </is>
      </c>
      <c r="AI244" s="2" t="inlineStr"/>
      <c r="AJ244" t="inlineStr">
        <is>
          <t>https://www.britishmuseum.org/collection/search?keyword=Baal+Cycle+Ugarit+translation</t>
        </is>
      </c>
      <c r="AK244" t="inlineStr">
        <is>
          <t>https://archive.org/search?query=Baal+Cycle+Ugarit+translation</t>
        </is>
      </c>
      <c r="AL244" t="inlineStr">
        <is>
          <t>https://www.britishmuseum.org/collection/search?keyword=Baal+Cycle+Ugarit+translation</t>
        </is>
      </c>
      <c r="AM244" t="inlineStr">
        <is>
          <t>https://whc.unesco.org/en/search/?searchterm=Baal+Cycle+Ugarit+translation</t>
        </is>
      </c>
      <c r="AN244" t="inlineStr">
        <is>
          <t>https://pleiades.stoa.org/search?SearchableText=Baal+Cycle+Ugarit+translation</t>
        </is>
      </c>
      <c r="AO244" t="inlineStr">
        <is>
          <t>1) Fact base: British Museum Collection. 2) Translation/text: Internet Archive. 3) Images/objects: British Museum Collection. 4) Context/explanation: UNESCO. 5) Geography/maps: Pleiades. Use Suggested_Search_Term inside each portal.</t>
        </is>
      </c>
      <c r="AP244" t="inlineStr">
        <is>
          <t>Mixed: direct portal homepages plus search-result URLs where the portal exposes a public search endpoint.</t>
        </is>
      </c>
    </row>
    <row r="245">
      <c r="A245" s="2" t="n">
        <v>244</v>
      </c>
      <c r="B245" s="7" t="inlineStr">
        <is>
          <t>BCE_to_1AD</t>
        </is>
      </c>
      <c r="C245" s="2" t="inlineStr">
        <is>
          <t>Levant / Israel / Phoenicia</t>
        </is>
      </c>
      <c r="D245" s="2" t="inlineStr">
        <is>
          <t>Ancient Israel / Judah</t>
        </is>
      </c>
      <c r="E245" s="2" t="n">
        <v>-1000</v>
      </c>
      <c r="F245" s="2" t="n">
        <v>-400</v>
      </c>
      <c r="G245" s="2" t="inlineStr">
        <is>
          <t>Iron Age and Persian period</t>
        </is>
      </c>
      <c r="H245" s="2" t="inlineStr">
        <is>
          <t>Genesis 1-11</t>
        </is>
      </c>
      <c r="I245" s="2" t="inlineStr">
        <is>
          <t>Text tradition</t>
        </is>
      </c>
      <c r="J245" s="2" t="inlineStr">
        <is>
          <t>manuscripts + later witnesses</t>
        </is>
      </c>
      <c r="K245" s="2" t="inlineStr">
        <is>
          <t>creation</t>
        </is>
      </c>
      <c r="L245" s="2" t="inlineStr">
        <is>
          <t>flood / Babel</t>
        </is>
      </c>
      <c r="M245" s="2" t="inlineStr">
        <is>
          <t>Israel / Palestine</t>
        </is>
      </c>
      <c r="N245" s="2" t="inlineStr">
        <is>
          <t>Ancient Israel / Judah</t>
        </is>
      </c>
      <c r="O245" s="2" t="inlineStr">
        <is>
          <t>Primeval history including creation, Eden, flood, genealogies, and Babel.</t>
        </is>
      </c>
      <c r="P245" s="2" t="inlineStr">
        <is>
          <t>Mandatory control text for myth-as-history comparisons.</t>
        </is>
      </c>
      <c r="Q245" s="2" t="inlineStr">
        <is>
          <t>High</t>
        </is>
      </c>
      <c r="R245" s="2" t="inlineStr">
        <is>
          <t>Yes</t>
        </is>
      </c>
      <c r="S245" s="2" t="inlineStr">
        <is>
          <t>Medium</t>
        </is>
      </c>
      <c r="T245" s="2" t="inlineStr">
        <is>
          <t>Sefaria</t>
        </is>
      </c>
      <c r="U245" s="8" t="inlineStr">
        <is>
          <t>https://www.sefaria.org/</t>
        </is>
      </c>
      <c r="V245" s="2" t="inlineStr">
        <is>
          <t>Sefaria</t>
        </is>
      </c>
      <c r="W245" s="8" t="inlineStr">
        <is>
          <t>https://www.sefaria.org/</t>
        </is>
      </c>
      <c r="X245" s="2" t="inlineStr">
        <is>
          <t>Leon Levy Dead Sea Scrolls</t>
        </is>
      </c>
      <c r="Y245" s="8" t="inlineStr">
        <is>
          <t>https://www.deadseascrolls.org.il/</t>
        </is>
      </c>
      <c r="Z245" s="2" t="inlineStr">
        <is>
          <t>UNESCO</t>
        </is>
      </c>
      <c r="AA245" s="8" t="inlineStr">
        <is>
          <t>https://whc.unesco.org/</t>
        </is>
      </c>
      <c r="AB245" s="2" t="inlineStr">
        <is>
          <t>Pleiades</t>
        </is>
      </c>
      <c r="AC245" s="8" t="inlineStr">
        <is>
          <t>https://pleiades.stoa.org/</t>
        </is>
      </c>
      <c r="AD245" s="2" t="inlineStr">
        <is>
          <t>Genesis 1-11 Sefaria</t>
        </is>
      </c>
      <c r="AE245" s="2" t="inlineStr">
        <is>
          <t>Textual layers and dating are debated; use manuscript witnesses separately from composition history.</t>
        </is>
      </c>
      <c r="AF245" s="2" t="inlineStr">
        <is>
          <t>Enki and Ninhursag; Atrahasis; Enuma Elish</t>
        </is>
      </c>
      <c r="AG245" s="2" t="inlineStr">
        <is>
          <t>Critical</t>
        </is>
      </c>
      <c r="AH245" s="2" t="inlineStr">
        <is>
          <t>High</t>
        </is>
      </c>
      <c r="AI245" s="2" t="inlineStr"/>
      <c r="AJ245" t="inlineStr">
        <is>
          <t>https://www.sefaria.org/search?q=Genesis+1-11+Sefaria&amp;tab=text</t>
        </is>
      </c>
      <c r="AK245" t="inlineStr">
        <is>
          <t>https://www.sefaria.org/search?q=Genesis+1-11+Sefaria&amp;tab=text</t>
        </is>
      </c>
      <c r="AL245" t="inlineStr">
        <is>
          <t>https://www.deadseascrolls.org.il/</t>
        </is>
      </c>
      <c r="AM245" t="inlineStr">
        <is>
          <t>https://whc.unesco.org/en/search/?searchterm=Genesis+1-11+Sefaria</t>
        </is>
      </c>
      <c r="AN245" t="inlineStr">
        <is>
          <t>https://pleiades.stoa.org/search?SearchableText=Genesis+1-11+Sefaria</t>
        </is>
      </c>
      <c r="AO245" t="inlineStr">
        <is>
          <t>1) Fact base: Sefaria. 2) Translation/text: Sefaria. 3) Images/objects: Leon Levy Dead Sea Scrolls. 4) Context/explanation: UNESCO. 5) Geography/maps: Pleiades. Use Suggested_Search_Term inside each portal.</t>
        </is>
      </c>
      <c r="AP245" t="inlineStr">
        <is>
          <t>Mixed: direct portal homepages plus search-result URLs where the portal exposes a public search endpoint.</t>
        </is>
      </c>
    </row>
    <row r="246">
      <c r="A246" s="2" t="n">
        <v>245</v>
      </c>
      <c r="B246" s="7" t="inlineStr">
        <is>
          <t>BCE_to_1AD</t>
        </is>
      </c>
      <c r="C246" s="2" t="inlineStr">
        <is>
          <t>Levant / Israel / Phoenicia</t>
        </is>
      </c>
      <c r="D246" s="2" t="inlineStr">
        <is>
          <t>Second Temple Judaism</t>
        </is>
      </c>
      <c r="E246" s="2" t="n">
        <v>-300</v>
      </c>
      <c r="F246" s="2" t="n">
        <v>-1</v>
      </c>
      <c r="G246" s="2" t="inlineStr">
        <is>
          <t>Late BCE</t>
        </is>
      </c>
      <c r="H246" s="2" t="inlineStr">
        <is>
          <t>1 Enoch</t>
        </is>
      </c>
      <c r="I246" s="2" t="inlineStr">
        <is>
          <t>Text tradition</t>
        </is>
      </c>
      <c r="J246" s="2" t="inlineStr">
        <is>
          <t>manuscripts + translations</t>
        </is>
      </c>
      <c r="K246" s="2" t="inlineStr">
        <is>
          <t>Watchers</t>
        </is>
      </c>
      <c r="L246" s="2" t="inlineStr">
        <is>
          <t>antediluvian corruption</t>
        </is>
      </c>
      <c r="M246" s="2" t="inlineStr">
        <is>
          <t>Israel / Ethiopia manuscript tradition</t>
        </is>
      </c>
      <c r="N246" s="2" t="inlineStr">
        <is>
          <t>Judea / wider Jewish tradition</t>
        </is>
      </c>
      <c r="O246" s="2" t="inlineStr">
        <is>
          <t>Jewish apocalyptic literature featuring Watchers, giant offspring, heavenly journeys, and judgment.</t>
        </is>
      </c>
      <c r="P246" s="2" t="inlineStr">
        <is>
          <t>Central for pre-flood corruption and watcher frameworks.</t>
        </is>
      </c>
      <c r="Q246" s="2" t="inlineStr">
        <is>
          <t>High</t>
        </is>
      </c>
      <c r="R246" s="2" t="inlineStr">
        <is>
          <t>Yes</t>
        </is>
      </c>
      <c r="S246" s="2" t="inlineStr">
        <is>
          <t>Medium</t>
        </is>
      </c>
      <c r="T246" s="2" t="inlineStr">
        <is>
          <t>Internet Archive</t>
        </is>
      </c>
      <c r="U246" s="8" t="inlineStr">
        <is>
          <t>https://archive.org/</t>
        </is>
      </c>
      <c r="V246" s="2" t="inlineStr">
        <is>
          <t>Internet Archive</t>
        </is>
      </c>
      <c r="W246" s="8" t="inlineStr">
        <is>
          <t>https://archive.org/</t>
        </is>
      </c>
      <c r="X246" s="2" t="inlineStr">
        <is>
          <t>Leon Levy Dead Sea Scrolls</t>
        </is>
      </c>
      <c r="Y246" s="8" t="inlineStr">
        <is>
          <t>https://www.deadseascrolls.org.il/</t>
        </is>
      </c>
      <c r="Z246" s="2" t="inlineStr">
        <is>
          <t>UNESCO</t>
        </is>
      </c>
      <c r="AA246" s="8" t="inlineStr">
        <is>
          <t>https://whc.unesco.org/</t>
        </is>
      </c>
      <c r="AB246" s="2" t="inlineStr">
        <is>
          <t>Pleiades</t>
        </is>
      </c>
      <c r="AC246" s="8" t="inlineStr">
        <is>
          <t>https://pleiades.stoa.org/</t>
        </is>
      </c>
      <c r="AD246" s="2" t="inlineStr">
        <is>
          <t>1 Enoch Watchers translation</t>
        </is>
      </c>
      <c r="AE246" s="2" t="inlineStr">
        <is>
          <t>Survives fully in Ethiopic; Qumran fragments anchor Second Temple antiquity.</t>
        </is>
      </c>
      <c r="AF246" s="2" t="inlineStr">
        <is>
          <t>Genesis 6; Apkallu; giant traditions</t>
        </is>
      </c>
      <c r="AG246" s="2" t="inlineStr">
        <is>
          <t>Critical</t>
        </is>
      </c>
      <c r="AH246" s="2" t="inlineStr">
        <is>
          <t>High</t>
        </is>
      </c>
      <c r="AI246" s="2" t="inlineStr"/>
      <c r="AJ246" t="inlineStr">
        <is>
          <t>https://archive.org/search?query=1+Enoch+Watchers+translation</t>
        </is>
      </c>
      <c r="AK246" t="inlineStr">
        <is>
          <t>https://archive.org/search?query=1+Enoch+Watchers+translation</t>
        </is>
      </c>
      <c r="AL246" t="inlineStr">
        <is>
          <t>https://www.deadseascrolls.org.il/</t>
        </is>
      </c>
      <c r="AM246" t="inlineStr">
        <is>
          <t>https://whc.unesco.org/en/search/?searchterm=1+Enoch+Watchers+translation</t>
        </is>
      </c>
      <c r="AN246" t="inlineStr">
        <is>
          <t>https://pleiades.stoa.org/search?SearchableText=1+Enoch+Watchers+translation</t>
        </is>
      </c>
      <c r="AO246" t="inlineStr">
        <is>
          <t>1) Fact base: Internet Archive. 2) Translation/text: Internet Archive. 3) Images/objects: Leon Levy Dead Sea Scrolls. 4) Context/explanation: UNESCO. 5) Geography/maps: Pleiades. Use Suggested_Search_Term inside each portal.</t>
        </is>
      </c>
      <c r="AP246" t="inlineStr">
        <is>
          <t>Mixed: direct portal homepages plus search-result URLs where the portal exposes a public search endpoint.</t>
        </is>
      </c>
    </row>
    <row r="247">
      <c r="A247" s="2" t="n">
        <v>246</v>
      </c>
      <c r="B247" s="7" t="inlineStr">
        <is>
          <t>BCE_to_1AD</t>
        </is>
      </c>
      <c r="C247" s="2" t="inlineStr">
        <is>
          <t>Levant / Israel / Phoenicia</t>
        </is>
      </c>
      <c r="D247" s="2" t="inlineStr">
        <is>
          <t>Second Temple Judaism</t>
        </is>
      </c>
      <c r="E247" s="2" t="n">
        <v>-200</v>
      </c>
      <c r="F247" s="2" t="n">
        <v>-1</v>
      </c>
      <c r="G247" s="2" t="inlineStr">
        <is>
          <t>Late BCE</t>
        </is>
      </c>
      <c r="H247" s="2" t="inlineStr">
        <is>
          <t>Book of Jubilees</t>
        </is>
      </c>
      <c r="I247" s="2" t="inlineStr">
        <is>
          <t>Text tradition</t>
        </is>
      </c>
      <c r="J247" s="2" t="inlineStr">
        <is>
          <t>manuscripts + translations</t>
        </is>
      </c>
      <c r="K247" s="2" t="inlineStr">
        <is>
          <t>creation chronology</t>
        </is>
      </c>
      <c r="L247" s="2" t="inlineStr">
        <is>
          <t>antediluvian history</t>
        </is>
      </c>
      <c r="M247" s="2" t="inlineStr">
        <is>
          <t>Israel / Ethiopia manuscript tradition</t>
        </is>
      </c>
      <c r="N247" s="2" t="inlineStr">
        <is>
          <t>Judea</t>
        </is>
      </c>
      <c r="O247" s="2" t="inlineStr">
        <is>
          <t>Rewritten scriptural history with calendrical and angelic emphasis from creation onward.</t>
        </is>
      </c>
      <c r="P247" s="2" t="inlineStr">
        <is>
          <t>Valuable for structured ancient chronology and expanded primeval narrative.</t>
        </is>
      </c>
      <c r="Q247" s="2" t="inlineStr">
        <is>
          <t>High</t>
        </is>
      </c>
      <c r="R247" s="2" t="inlineStr">
        <is>
          <t>Yes</t>
        </is>
      </c>
      <c r="S247" s="2" t="inlineStr">
        <is>
          <t>Medium</t>
        </is>
      </c>
      <c r="T247" s="2" t="inlineStr">
        <is>
          <t>Internet Archive</t>
        </is>
      </c>
      <c r="U247" s="8" t="inlineStr">
        <is>
          <t>https://archive.org/</t>
        </is>
      </c>
      <c r="V247" s="2" t="inlineStr">
        <is>
          <t>Internet Archive</t>
        </is>
      </c>
      <c r="W247" s="8" t="inlineStr">
        <is>
          <t>https://archive.org/</t>
        </is>
      </c>
      <c r="X247" s="2" t="inlineStr">
        <is>
          <t>Leon Levy Dead Sea Scrolls</t>
        </is>
      </c>
      <c r="Y247" s="8" t="inlineStr">
        <is>
          <t>https://www.deadseascrolls.org.il/</t>
        </is>
      </c>
      <c r="Z247" s="2" t="inlineStr">
        <is>
          <t>UNESCO</t>
        </is>
      </c>
      <c r="AA247" s="8" t="inlineStr">
        <is>
          <t>https://whc.unesco.org/</t>
        </is>
      </c>
      <c r="AB247" s="2" t="inlineStr">
        <is>
          <t>Pleiades</t>
        </is>
      </c>
      <c r="AC247" s="8" t="inlineStr">
        <is>
          <t>https://pleiades.stoa.org/</t>
        </is>
      </c>
      <c r="AD247" s="2" t="inlineStr">
        <is>
          <t>Jubilees translation creation flood</t>
        </is>
      </c>
      <c r="AE247" s="2" t="inlineStr">
        <is>
          <t>Qumran fragments are key witnesses; full text survives in Ethiopic.</t>
        </is>
      </c>
      <c r="AF247" s="2" t="inlineStr">
        <is>
          <t>Genesis; Enoch; calendrical systems</t>
        </is>
      </c>
      <c r="AG247" s="2" t="inlineStr">
        <is>
          <t>High</t>
        </is>
      </c>
      <c r="AH247" s="2" t="inlineStr">
        <is>
          <t>High</t>
        </is>
      </c>
      <c r="AI247" s="2" t="inlineStr"/>
      <c r="AJ247" t="inlineStr">
        <is>
          <t>https://archive.org/search?query=Jubilees+translation+creation+flood</t>
        </is>
      </c>
      <c r="AK247" t="inlineStr">
        <is>
          <t>https://archive.org/search?query=Jubilees+translation+creation+flood</t>
        </is>
      </c>
      <c r="AL247" t="inlineStr">
        <is>
          <t>https://www.deadseascrolls.org.il/</t>
        </is>
      </c>
      <c r="AM247" t="inlineStr">
        <is>
          <t>https://whc.unesco.org/en/search/?searchterm=Jubilees+translation+creation+flood</t>
        </is>
      </c>
      <c r="AN247" t="inlineStr">
        <is>
          <t>https://pleiades.stoa.org/search?SearchableText=Jubilees+translation+creation+flood</t>
        </is>
      </c>
      <c r="AO247" t="inlineStr">
        <is>
          <t>1) Fact base: Internet Archive. 2) Translation/text: Internet Archive. 3) Images/objects: Leon Levy Dead Sea Scrolls. 4) Context/explanation: UNESCO. 5) Geography/maps: Pleiades. Use Suggested_Search_Term inside each portal.</t>
        </is>
      </c>
      <c r="AP247" t="inlineStr">
        <is>
          <t>Mixed: direct portal homepages plus search-result URLs where the portal exposes a public search endpoint.</t>
        </is>
      </c>
    </row>
    <row r="248">
      <c r="A248" s="2" t="n">
        <v>247</v>
      </c>
      <c r="B248" s="7" t="inlineStr">
        <is>
          <t>BCE_to_1AD</t>
        </is>
      </c>
      <c r="C248" s="2" t="inlineStr">
        <is>
          <t>Levant / Israel / Phoenicia</t>
        </is>
      </c>
      <c r="D248" s="2" t="inlineStr">
        <is>
          <t>Moab</t>
        </is>
      </c>
      <c r="E248" s="2" t="n">
        <v>-840</v>
      </c>
      <c r="F248" s="2" t="n">
        <v>-840</v>
      </c>
      <c r="G248" s="2" t="inlineStr">
        <is>
          <t>c. 840 BCE</t>
        </is>
      </c>
      <c r="H248" s="2" t="inlineStr">
        <is>
          <t>Mesha Stele</t>
        </is>
      </c>
      <c r="I248" s="2" t="inlineStr">
        <is>
          <t>Inscription</t>
        </is>
      </c>
      <c r="J248" s="2" t="inlineStr">
        <is>
          <t>stone stele</t>
        </is>
      </c>
      <c r="K248" s="2" t="inlineStr">
        <is>
          <t>kingship</t>
        </is>
      </c>
      <c r="L248" s="2" t="inlineStr">
        <is>
          <t>national god</t>
        </is>
      </c>
      <c r="M248" s="2" t="inlineStr">
        <is>
          <t>France / original from Jordan</t>
        </is>
      </c>
      <c r="N248" s="2" t="inlineStr">
        <is>
          <t>Dibon / Moab</t>
        </is>
      </c>
      <c r="O248" s="2" t="inlineStr">
        <is>
          <t>Royal Moabite inscription naming Chemosh, warfare, and political restoration.</t>
        </is>
      </c>
      <c r="P248" s="2" t="inlineStr">
        <is>
          <t>One of the strongest historical-religious inscriptions in the Iron Age Levant.</t>
        </is>
      </c>
      <c r="Q248" s="2" t="inlineStr">
        <is>
          <t>Medium</t>
        </is>
      </c>
      <c r="R248" s="2" t="inlineStr">
        <is>
          <t>Yes</t>
        </is>
      </c>
      <c r="S248" s="2" t="inlineStr">
        <is>
          <t>Yes</t>
        </is>
      </c>
      <c r="T248" s="2" t="inlineStr">
        <is>
          <t>Louvre Collections</t>
        </is>
      </c>
      <c r="U248" s="8" t="inlineStr">
        <is>
          <t>https://collections.louvre.fr/</t>
        </is>
      </c>
      <c r="V248" s="2" t="inlineStr">
        <is>
          <t>Internet Archive</t>
        </is>
      </c>
      <c r="W248" s="8" t="inlineStr">
        <is>
          <t>https://archive.org/</t>
        </is>
      </c>
      <c r="X248" s="2" t="inlineStr">
        <is>
          <t>Louvre Collections</t>
        </is>
      </c>
      <c r="Y248" s="8" t="inlineStr">
        <is>
          <t>https://collections.louvre.fr/</t>
        </is>
      </c>
      <c r="Z248" s="2" t="inlineStr">
        <is>
          <t>UNESCO</t>
        </is>
      </c>
      <c r="AA248" s="8" t="inlineStr">
        <is>
          <t>https://whc.unesco.org/</t>
        </is>
      </c>
      <c r="AB248" s="2" t="inlineStr">
        <is>
          <t>Pleiades</t>
        </is>
      </c>
      <c r="AC248" s="8" t="inlineStr">
        <is>
          <t>https://pleiades.stoa.org/</t>
        </is>
      </c>
      <c r="AD248" s="2" t="inlineStr">
        <is>
          <t>Mesha Stele Chemosh</t>
        </is>
      </c>
      <c r="AE248" s="2" t="inlineStr">
        <is>
          <t>Historical inscription with religious framing; useful for god-and-king narrative.</t>
        </is>
      </c>
      <c r="AF248" s="2" t="inlineStr">
        <is>
          <t>Hebrew Bible royal inscriptions; national gods</t>
        </is>
      </c>
      <c r="AG248" s="2" t="inlineStr">
        <is>
          <t>Critical</t>
        </is>
      </c>
      <c r="AH248" s="2" t="inlineStr">
        <is>
          <t>Medium</t>
        </is>
      </c>
      <c r="AI248" s="2" t="inlineStr"/>
      <c r="AJ248" t="inlineStr">
        <is>
          <t>https://collections.louvre.fr/en/recherche?keyword=Mesha+Stele+Chemosh</t>
        </is>
      </c>
      <c r="AK248" t="inlineStr">
        <is>
          <t>https://archive.org/search?query=Mesha+Stele+Chemosh</t>
        </is>
      </c>
      <c r="AL248" t="inlineStr">
        <is>
          <t>https://collections.louvre.fr/en/recherche?keyword=Mesha+Stele+Chemosh</t>
        </is>
      </c>
      <c r="AM248" t="inlineStr">
        <is>
          <t>https://whc.unesco.org/en/search/?searchterm=Mesha+Stele+Chemosh</t>
        </is>
      </c>
      <c r="AN248" t="inlineStr">
        <is>
          <t>https://pleiades.stoa.org/search?SearchableText=Mesha+Stele+Chemosh</t>
        </is>
      </c>
      <c r="AO248" t="inlineStr">
        <is>
          <t>1) Fact base: Louvre Collections. 2) Translation/text: Internet Archive. 3) Images/objects: Louvre Collections. 4) Context/explanation: UNESCO. 5) Geography/maps: Pleiades. Use Suggested_Search_Term inside each portal.</t>
        </is>
      </c>
      <c r="AP248" t="inlineStr">
        <is>
          <t>Mixed: direct portal homepages plus search-result URLs where the portal exposes a public search endpoint.</t>
        </is>
      </c>
    </row>
    <row r="249">
      <c r="A249" s="2" t="n">
        <v>248</v>
      </c>
      <c r="B249" s="7" t="inlineStr">
        <is>
          <t>BCE_to_1AD</t>
        </is>
      </c>
      <c r="C249" s="2" t="inlineStr">
        <is>
          <t>Iran / Central Asia</t>
        </is>
      </c>
      <c r="D249" s="2" t="inlineStr">
        <is>
          <t>Avestan / Zoroastrian</t>
        </is>
      </c>
      <c r="E249" s="2" t="n">
        <v>-1200</v>
      </c>
      <c r="F249" s="2" t="n">
        <v>-400</v>
      </c>
      <c r="G249" s="2" t="inlineStr">
        <is>
          <t>Early Iranian tradition, later written witnesses</t>
        </is>
      </c>
      <c r="H249" s="2" t="inlineStr">
        <is>
          <t>Gathas</t>
        </is>
      </c>
      <c r="I249" s="2" t="inlineStr">
        <is>
          <t>Text tradition</t>
        </is>
      </c>
      <c r="J249" s="2" t="inlineStr">
        <is>
          <t>manuscript tradition</t>
        </is>
      </c>
      <c r="K249" s="2" t="inlineStr">
        <is>
          <t>creator god</t>
        </is>
      </c>
      <c r="L249" s="2" t="inlineStr">
        <is>
          <t>moral dualism</t>
        </is>
      </c>
      <c r="M249" s="2" t="inlineStr">
        <is>
          <t>Iranian manuscript tradition</t>
        </is>
      </c>
      <c r="N249" s="2" t="inlineStr">
        <is>
          <t>Eastern Iranian world</t>
        </is>
      </c>
      <c r="O249" s="2" t="inlineStr">
        <is>
          <t>Oldest stratum of the Avesta associated with Zarathustra and focused on Ahura Mazda, truth, and moral choice.</t>
        </is>
      </c>
      <c r="P249" s="2" t="inlineStr">
        <is>
          <t>Essential for ancient Iranian views of god, creation, truth, and cosmic struggle.</t>
        </is>
      </c>
      <c r="Q249" s="2" t="inlineStr">
        <is>
          <t>Medium</t>
        </is>
      </c>
      <c r="R249" s="2" t="inlineStr">
        <is>
          <t>Yes</t>
        </is>
      </c>
      <c r="S249" s="2" t="inlineStr">
        <is>
          <t>Low</t>
        </is>
      </c>
      <c r="T249" s="2" t="inlineStr">
        <is>
          <t>Internet Archive</t>
        </is>
      </c>
      <c r="U249" s="8" t="inlineStr">
        <is>
          <t>https://archive.org/</t>
        </is>
      </c>
      <c r="V249" s="2" t="inlineStr">
        <is>
          <t>Internet Archive</t>
        </is>
      </c>
      <c r="W249" s="8" t="inlineStr">
        <is>
          <t>https://archive.org/</t>
        </is>
      </c>
      <c r="X249" s="2" t="inlineStr">
        <is>
          <t>British Museum Collection</t>
        </is>
      </c>
      <c r="Y249" s="8" t="inlineStr">
        <is>
          <t>https://www.britishmuseum.org/collection</t>
        </is>
      </c>
      <c r="Z249" s="2" t="inlineStr">
        <is>
          <t>UNESCO</t>
        </is>
      </c>
      <c r="AA249" s="8" t="inlineStr">
        <is>
          <t>https://whc.unesco.org/</t>
        </is>
      </c>
      <c r="AB249" s="2" t="inlineStr">
        <is>
          <t>Pleiades</t>
        </is>
      </c>
      <c r="AC249" s="8" t="inlineStr">
        <is>
          <t>https://pleiades.stoa.org/</t>
        </is>
      </c>
      <c r="AD249" s="2" t="inlineStr">
        <is>
          <t>Gathas Ahura Mazda translation</t>
        </is>
      </c>
      <c r="AE249" s="2" t="inlineStr">
        <is>
          <t>Surviving manuscripts are later; distinguish linguistic antiquity from manuscript date.</t>
        </is>
      </c>
      <c r="AF249" s="2" t="inlineStr">
        <is>
          <t>Moral cosmology; creator deity</t>
        </is>
      </c>
      <c r="AG249" s="2" t="inlineStr">
        <is>
          <t>Critical</t>
        </is>
      </c>
      <c r="AH249" s="2" t="inlineStr">
        <is>
          <t>High</t>
        </is>
      </c>
      <c r="AI249" s="2" t="inlineStr"/>
      <c r="AJ249" t="inlineStr">
        <is>
          <t>https://archive.org/search?query=Gathas+Ahura+Mazda+translation</t>
        </is>
      </c>
      <c r="AK249" t="inlineStr">
        <is>
          <t>https://archive.org/search?query=Gathas+Ahura+Mazda+translation</t>
        </is>
      </c>
      <c r="AL249" t="inlineStr">
        <is>
          <t>https://www.britishmuseum.org/collection/search?keyword=Gathas+Ahura+Mazda+translation</t>
        </is>
      </c>
      <c r="AM249" t="inlineStr">
        <is>
          <t>https://whc.unesco.org/en/search/?searchterm=Gathas+Ahura+Mazda+translation</t>
        </is>
      </c>
      <c r="AN249" t="inlineStr">
        <is>
          <t>https://pleiades.stoa.org/search?SearchableText=Gathas+Ahura+Mazda+translation</t>
        </is>
      </c>
      <c r="AO249" t="inlineStr">
        <is>
          <t>1) Fact base: Internet Archive. 2) Translation/text: Internet Archive. 3) Images/objects: British Museum Collection. 4) Context/explanation: UNESCO. 5) Geography/maps: Pleiades. Use Suggested_Search_Term inside each portal.</t>
        </is>
      </c>
      <c r="AP249" t="inlineStr">
        <is>
          <t>Mixed: direct portal homepages plus search-result URLs where the portal exposes a public search endpoint.</t>
        </is>
      </c>
    </row>
    <row r="250">
      <c r="A250" s="2" t="n">
        <v>249</v>
      </c>
      <c r="B250" s="7" t="inlineStr">
        <is>
          <t>BCE_to_1AD</t>
        </is>
      </c>
      <c r="C250" s="2" t="inlineStr">
        <is>
          <t>Iran / Central Asia</t>
        </is>
      </c>
      <c r="D250" s="2" t="inlineStr">
        <is>
          <t>Ancient Iranian tradition</t>
        </is>
      </c>
      <c r="E250" s="2" t="n">
        <v>-1000</v>
      </c>
      <c r="F250" s="2" t="n">
        <v>-300</v>
      </c>
      <c r="G250" s="2" t="inlineStr">
        <is>
          <t>Ancient Iranian tradition</t>
        </is>
      </c>
      <c r="H250" s="2" t="inlineStr">
        <is>
          <t>Yima and the Vara</t>
        </is>
      </c>
      <c r="I250" s="2" t="inlineStr">
        <is>
          <t>Text tradition</t>
        </is>
      </c>
      <c r="J250" s="2" t="inlineStr">
        <is>
          <t>manuscript tradition</t>
        </is>
      </c>
      <c r="K250" s="2" t="inlineStr">
        <is>
          <t>cataclysm survival</t>
        </is>
      </c>
      <c r="L250" s="2" t="inlineStr">
        <is>
          <t>golden age</t>
        </is>
      </c>
      <c r="M250" s="2" t="inlineStr">
        <is>
          <t>Iranian manuscript tradition</t>
        </is>
      </c>
      <c r="N250" s="2" t="inlineStr">
        <is>
          <t>Iranian world</t>
        </is>
      </c>
      <c r="O250" s="2" t="inlineStr">
        <is>
          <t>Avestan narrative of Yima building an enclosure to preserve life from a deadly winter/catastrophe.</t>
        </is>
      </c>
      <c r="P250" s="2" t="inlineStr">
        <is>
          <t>One of the best Iranian comparators for Noah/Manu survival traditions.</t>
        </is>
      </c>
      <c r="Q250" s="2" t="inlineStr">
        <is>
          <t>High</t>
        </is>
      </c>
      <c r="R250" s="2" t="inlineStr">
        <is>
          <t>Yes</t>
        </is>
      </c>
      <c r="S250" s="2" t="inlineStr">
        <is>
          <t>Low</t>
        </is>
      </c>
      <c r="T250" s="2" t="inlineStr">
        <is>
          <t>Internet Archive</t>
        </is>
      </c>
      <c r="U250" s="8" t="inlineStr">
        <is>
          <t>https://archive.org/</t>
        </is>
      </c>
      <c r="V250" s="2" t="inlineStr">
        <is>
          <t>Internet Archive</t>
        </is>
      </c>
      <c r="W250" s="8" t="inlineStr">
        <is>
          <t>https://archive.org/</t>
        </is>
      </c>
      <c r="X250" s="2" t="inlineStr">
        <is>
          <t>British Museum Collection</t>
        </is>
      </c>
      <c r="Y250" s="8" t="inlineStr">
        <is>
          <t>https://www.britishmuseum.org/collection</t>
        </is>
      </c>
      <c r="Z250" s="2" t="inlineStr">
        <is>
          <t>UNESCO</t>
        </is>
      </c>
      <c r="AA250" s="8" t="inlineStr">
        <is>
          <t>https://whc.unesco.org/</t>
        </is>
      </c>
      <c r="AB250" s="2" t="inlineStr">
        <is>
          <t>Pleiades</t>
        </is>
      </c>
      <c r="AC250" s="8" t="inlineStr">
        <is>
          <t>https://pleiades.stoa.org/</t>
        </is>
      </c>
      <c r="AD250" s="2" t="inlineStr">
        <is>
          <t>Yima Vara Vendidad translation</t>
        </is>
      </c>
      <c r="AE250" s="2" t="inlineStr">
        <is>
          <t>Preserved in later manuscripts; use with philological caution.</t>
        </is>
      </c>
      <c r="AF250" s="2" t="inlineStr">
        <is>
          <t>Noah; Utnapishtim; Manu</t>
        </is>
      </c>
      <c r="AG250" s="2" t="inlineStr">
        <is>
          <t>Critical</t>
        </is>
      </c>
      <c r="AH250" s="2" t="inlineStr">
        <is>
          <t>High</t>
        </is>
      </c>
      <c r="AI250" s="2" t="inlineStr"/>
      <c r="AJ250" t="inlineStr">
        <is>
          <t>https://archive.org/search?query=Yima+Vara+Vendidad+translation</t>
        </is>
      </c>
      <c r="AK250" t="inlineStr">
        <is>
          <t>https://archive.org/search?query=Yima+Vara+Vendidad+translation</t>
        </is>
      </c>
      <c r="AL250" t="inlineStr">
        <is>
          <t>https://www.britishmuseum.org/collection/search?keyword=Yima+Vara+Vendidad+translation</t>
        </is>
      </c>
      <c r="AM250" t="inlineStr">
        <is>
          <t>https://whc.unesco.org/en/search/?searchterm=Yima+Vara+Vendidad+translation</t>
        </is>
      </c>
      <c r="AN250" t="inlineStr">
        <is>
          <t>https://pleiades.stoa.org/search?SearchableText=Yima+Vara+Vendidad+translation</t>
        </is>
      </c>
      <c r="AO250" t="inlineStr">
        <is>
          <t>1) Fact base: Internet Archive. 2) Translation/text: Internet Archive. 3) Images/objects: British Museum Collection. 4) Context/explanation: UNESCO. 5) Geography/maps: Pleiades. Use Suggested_Search_Term inside each portal.</t>
        </is>
      </c>
      <c r="AP250" t="inlineStr">
        <is>
          <t>Mixed: direct portal homepages plus search-result URLs where the portal exposes a public search endpoint.</t>
        </is>
      </c>
    </row>
    <row r="251">
      <c r="A251" s="2" t="n">
        <v>250</v>
      </c>
      <c r="B251" s="7" t="inlineStr">
        <is>
          <t>BCE_to_1AD</t>
        </is>
      </c>
      <c r="C251" s="2" t="inlineStr">
        <is>
          <t>Iran / Central Asia</t>
        </is>
      </c>
      <c r="D251" s="2" t="inlineStr">
        <is>
          <t>Achaemenid Persian</t>
        </is>
      </c>
      <c r="E251" s="2" t="n">
        <v>-520</v>
      </c>
      <c r="F251" s="2" t="n">
        <v>-486</v>
      </c>
      <c r="G251" s="2" t="inlineStr">
        <is>
          <t>6th-5th c BCE</t>
        </is>
      </c>
      <c r="H251" s="2" t="inlineStr">
        <is>
          <t>Behistun Inscription</t>
        </is>
      </c>
      <c r="I251" s="2" t="inlineStr">
        <is>
          <t>Inscription</t>
        </is>
      </c>
      <c r="J251" s="2" t="inlineStr">
        <is>
          <t>rock inscription</t>
        </is>
      </c>
      <c r="K251" s="2" t="inlineStr">
        <is>
          <t>kingship</t>
        </is>
      </c>
      <c r="L251" s="2" t="inlineStr">
        <is>
          <t>divine legitimacy</t>
        </is>
      </c>
      <c r="M251" s="2" t="inlineStr">
        <is>
          <t>Iran</t>
        </is>
      </c>
      <c r="N251" s="2" t="inlineStr">
        <is>
          <t>Behistun</t>
        </is>
      </c>
      <c r="O251" s="2" t="inlineStr">
        <is>
          <t>Trilingual royal inscription of Darius invoking Ahura Mazda and narrating rebellions and order restored.</t>
        </is>
      </c>
      <c r="P251" s="2" t="inlineStr">
        <is>
          <t>Crucial for how empire linked divine sanction and historical narrative.</t>
        </is>
      </c>
      <c r="Q251" s="2" t="inlineStr">
        <is>
          <t>Medium</t>
        </is>
      </c>
      <c r="R251" s="2" t="inlineStr">
        <is>
          <t>Yes</t>
        </is>
      </c>
      <c r="S251" s="2" t="inlineStr">
        <is>
          <t>Yes</t>
        </is>
      </c>
      <c r="T251" s="2" t="inlineStr">
        <is>
          <t>UNESCO</t>
        </is>
      </c>
      <c r="U251" s="8" t="inlineStr">
        <is>
          <t>https://whc.unesco.org/</t>
        </is>
      </c>
      <c r="V251" s="2" t="inlineStr">
        <is>
          <t>Internet Archive</t>
        </is>
      </c>
      <c r="W251" s="8" t="inlineStr">
        <is>
          <t>https://archive.org/</t>
        </is>
      </c>
      <c r="X251" s="2" t="inlineStr">
        <is>
          <t>UNESCO</t>
        </is>
      </c>
      <c r="Y251" s="8" t="inlineStr">
        <is>
          <t>https://whc.unesco.org/</t>
        </is>
      </c>
      <c r="Z251" s="2" t="inlineStr">
        <is>
          <t>UNESCO</t>
        </is>
      </c>
      <c r="AA251" s="8" t="inlineStr">
        <is>
          <t>https://whc.unesco.org/</t>
        </is>
      </c>
      <c r="AB251" s="2" t="inlineStr">
        <is>
          <t>UNESCO</t>
        </is>
      </c>
      <c r="AC251" s="8" t="inlineStr">
        <is>
          <t>https://whc.unesco.org/</t>
        </is>
      </c>
      <c r="AD251" s="2" t="inlineStr">
        <is>
          <t>Behistun inscription Ahura Mazda</t>
        </is>
      </c>
      <c r="AE251" s="2" t="inlineStr">
        <is>
          <t>Historical inscription, not myth; use as anchor for royal ideology.</t>
        </is>
      </c>
      <c r="AF251" s="2" t="inlineStr">
        <is>
          <t>Palermo Stone; Mesha Stele; Ashokan edicts</t>
        </is>
      </c>
      <c r="AG251" s="2" t="inlineStr">
        <is>
          <t>Critical</t>
        </is>
      </c>
      <c r="AH251" s="2" t="inlineStr">
        <is>
          <t>Medium</t>
        </is>
      </c>
      <c r="AI251" s="2" t="inlineStr"/>
      <c r="AJ251" t="inlineStr">
        <is>
          <t>https://whc.unesco.org/en/search/?searchterm=Behistun+inscription+Ahura+Mazda</t>
        </is>
      </c>
      <c r="AK251" t="inlineStr">
        <is>
          <t>https://archive.org/search?query=Behistun+inscription+Ahura+Mazda</t>
        </is>
      </c>
      <c r="AL251" t="inlineStr">
        <is>
          <t>https://whc.unesco.org/en/search/?searchterm=Behistun+inscription+Ahura+Mazda</t>
        </is>
      </c>
      <c r="AM251" t="inlineStr">
        <is>
          <t>https://whc.unesco.org/en/search/?searchterm=Behistun+inscription+Ahura+Mazda</t>
        </is>
      </c>
      <c r="AN251" t="inlineStr">
        <is>
          <t>https://whc.unesco.org/en/search/?searchterm=Behistun+inscription+Ahura+Mazda</t>
        </is>
      </c>
      <c r="AO251" t="inlineStr">
        <is>
          <t>1) Fact base: UNESCO. 2) Translation/text: Internet Archive. 3) Images/objects: UNESCO. 4) Context/explanation: UNESCO. 5) Geography/maps: UNESCO. Use Suggested_Search_Term inside each portal.</t>
        </is>
      </c>
      <c r="AP251" t="inlineStr">
        <is>
          <t>Mixed: direct portal homepages plus search-result URLs where the portal exposes a public search endpoint.</t>
        </is>
      </c>
    </row>
    <row r="252">
      <c r="A252" s="2" t="n">
        <v>251</v>
      </c>
      <c r="B252" s="7" t="inlineStr">
        <is>
          <t>BCE_to_1AD</t>
        </is>
      </c>
      <c r="C252" s="2" t="inlineStr">
        <is>
          <t>South Asia</t>
        </is>
      </c>
      <c r="D252" s="2" t="inlineStr">
        <is>
          <t>Vedic India</t>
        </is>
      </c>
      <c r="E252" s="2" t="n">
        <v>-1500</v>
      </c>
      <c r="F252" s="2" t="n">
        <v>-1200</v>
      </c>
      <c r="G252" s="2" t="inlineStr">
        <is>
          <t>Early Vedic</t>
        </is>
      </c>
      <c r="H252" s="2" t="inlineStr">
        <is>
          <t>Nasadiya Sukta (Rigveda 10.129)</t>
        </is>
      </c>
      <c r="I252" s="2" t="inlineStr">
        <is>
          <t>Text</t>
        </is>
      </c>
      <c r="J252" s="2" t="inlineStr">
        <is>
          <t>oral tradition later manuscripts</t>
        </is>
      </c>
      <c r="K252" s="2" t="inlineStr">
        <is>
          <t>creation</t>
        </is>
      </c>
      <c r="L252" s="2" t="inlineStr">
        <is>
          <t>cosmic uncertainty</t>
        </is>
      </c>
      <c r="M252" s="2" t="inlineStr">
        <is>
          <t>India</t>
        </is>
      </c>
      <c r="N252" s="2" t="inlineStr">
        <is>
          <t>Northwest India</t>
        </is>
      </c>
      <c r="O252" s="2" t="inlineStr">
        <is>
          <t>Hymn speculating on the origins of existence, non-existence, and whether creation is fully knowable.</t>
        </is>
      </c>
      <c r="P252" s="2" t="inlineStr">
        <is>
          <t>One of the most important creation texts globally for philosophical depth.</t>
        </is>
      </c>
      <c r="Q252" s="2" t="inlineStr">
        <is>
          <t>High</t>
        </is>
      </c>
      <c r="R252" s="2" t="inlineStr">
        <is>
          <t>Yes</t>
        </is>
      </c>
      <c r="S252" s="2" t="inlineStr">
        <is>
          <t>Low</t>
        </is>
      </c>
      <c r="T252" s="2" t="inlineStr">
        <is>
          <t>GRETIL</t>
        </is>
      </c>
      <c r="U252" s="8" t="inlineStr">
        <is>
          <t>https://gretil.sub.uni-goettingen.de/gretil.html</t>
        </is>
      </c>
      <c r="V252" s="2" t="inlineStr">
        <is>
          <t>Wisdom Library</t>
        </is>
      </c>
      <c r="W252" s="8" t="inlineStr">
        <is>
          <t>https://www.wisdomlib.org/</t>
        </is>
      </c>
      <c r="X252" s="2" t="inlineStr">
        <is>
          <t>ASI</t>
        </is>
      </c>
      <c r="Y252" s="8" t="inlineStr">
        <is>
          <t>https://asi.nic.in/</t>
        </is>
      </c>
      <c r="Z252" s="2" t="inlineStr">
        <is>
          <t>ASI</t>
        </is>
      </c>
      <c r="AA252" s="8" t="inlineStr">
        <is>
          <t>https://asi.nic.in/</t>
        </is>
      </c>
      <c r="AB252" s="2" t="inlineStr">
        <is>
          <t>ASI</t>
        </is>
      </c>
      <c r="AC252" s="8" t="inlineStr">
        <is>
          <t>https://asi.nic.in/</t>
        </is>
      </c>
      <c r="AD252" s="2" t="inlineStr">
        <is>
          <t>Nasadiya Sukta translation</t>
        </is>
      </c>
      <c r="AE252" s="2" t="inlineStr">
        <is>
          <t>Orally transmitted long before manuscript witnesses.</t>
        </is>
      </c>
      <c r="AF252" s="2" t="inlineStr">
        <is>
          <t>Genesis 1; Memphite Theology; Greek cosmogony</t>
        </is>
      </c>
      <c r="AG252" s="2" t="inlineStr">
        <is>
          <t>Critical</t>
        </is>
      </c>
      <c r="AH252" s="2" t="inlineStr">
        <is>
          <t>High</t>
        </is>
      </c>
      <c r="AI252" s="2" t="inlineStr"/>
      <c r="AJ252" t="inlineStr">
        <is>
          <t>https://gretil.sub.uni-goettingen.de/gretil.html</t>
        </is>
      </c>
      <c r="AK252" t="inlineStr">
        <is>
          <t>https://www.wisdomlib.org/</t>
        </is>
      </c>
      <c r="AL252" t="inlineStr">
        <is>
          <t>https://asi.nic.in/</t>
        </is>
      </c>
      <c r="AM252" t="inlineStr">
        <is>
          <t>https://asi.nic.in/</t>
        </is>
      </c>
      <c r="AN252" t="inlineStr">
        <is>
          <t>https://asi.nic.in/</t>
        </is>
      </c>
      <c r="AO252" t="inlineStr">
        <is>
          <t>1) Fact base: GRETIL. 2) Translation/text: Wisdom Library. 3) Images/objects: ASI. 4) Context/explanation: ASI. 5) Geography/maps: ASI. Use Suggested_Search_Term inside each portal.</t>
        </is>
      </c>
      <c r="AP252" t="inlineStr">
        <is>
          <t>Mixed: direct portal homepages plus search-result URLs where the portal exposes a public search endpoint.</t>
        </is>
      </c>
    </row>
    <row r="253">
      <c r="A253" s="2" t="n">
        <v>252</v>
      </c>
      <c r="B253" s="7" t="inlineStr">
        <is>
          <t>BCE_to_1AD</t>
        </is>
      </c>
      <c r="C253" s="2" t="inlineStr">
        <is>
          <t>South Asia</t>
        </is>
      </c>
      <c r="D253" s="2" t="inlineStr">
        <is>
          <t>Vedic India</t>
        </is>
      </c>
      <c r="E253" s="2" t="n">
        <v>-1500</v>
      </c>
      <c r="F253" s="2" t="n">
        <v>-1200</v>
      </c>
      <c r="G253" s="2" t="inlineStr">
        <is>
          <t>Early Vedic</t>
        </is>
      </c>
      <c r="H253" s="2" t="inlineStr">
        <is>
          <t>Hiranyagarbha Sukta (Rigveda 10.121)</t>
        </is>
      </c>
      <c r="I253" s="2" t="inlineStr">
        <is>
          <t>Text</t>
        </is>
      </c>
      <c r="J253" s="2" t="inlineStr">
        <is>
          <t>oral tradition later manuscripts</t>
        </is>
      </c>
      <c r="K253" s="2" t="inlineStr">
        <is>
          <t>creator god</t>
        </is>
      </c>
      <c r="L253" s="2" t="inlineStr">
        <is>
          <t>cosmic origin</t>
        </is>
      </c>
      <c r="M253" s="2" t="inlineStr">
        <is>
          <t>India</t>
        </is>
      </c>
      <c r="N253" s="2" t="inlineStr">
        <is>
          <t>Northwest India</t>
        </is>
      </c>
      <c r="O253" s="2" t="inlineStr">
        <is>
          <t>Vedic hymn centered on the golden embryo and a creator associated with cosmic generation.</t>
        </is>
      </c>
      <c r="P253" s="2" t="inlineStr">
        <is>
          <t>Key for birth-of-world imagery and creator-deity language.</t>
        </is>
      </c>
      <c r="Q253" s="2" t="inlineStr">
        <is>
          <t>High</t>
        </is>
      </c>
      <c r="R253" s="2" t="inlineStr">
        <is>
          <t>Yes</t>
        </is>
      </c>
      <c r="S253" s="2" t="inlineStr">
        <is>
          <t>Low</t>
        </is>
      </c>
      <c r="T253" s="2" t="inlineStr">
        <is>
          <t>GRETIL</t>
        </is>
      </c>
      <c r="U253" s="8" t="inlineStr">
        <is>
          <t>https://gretil.sub.uni-goettingen.de/gretil.html</t>
        </is>
      </c>
      <c r="V253" s="2" t="inlineStr">
        <is>
          <t>Wisdom Library</t>
        </is>
      </c>
      <c r="W253" s="8" t="inlineStr">
        <is>
          <t>https://www.wisdomlib.org/</t>
        </is>
      </c>
      <c r="X253" s="2" t="inlineStr">
        <is>
          <t>ASI</t>
        </is>
      </c>
      <c r="Y253" s="8" t="inlineStr">
        <is>
          <t>https://asi.nic.in/</t>
        </is>
      </c>
      <c r="Z253" s="2" t="inlineStr">
        <is>
          <t>ASI</t>
        </is>
      </c>
      <c r="AA253" s="8" t="inlineStr">
        <is>
          <t>https://asi.nic.in/</t>
        </is>
      </c>
      <c r="AB253" s="2" t="inlineStr">
        <is>
          <t>ASI</t>
        </is>
      </c>
      <c r="AC253" s="8" t="inlineStr">
        <is>
          <t>https://asi.nic.in/</t>
        </is>
      </c>
      <c r="AD253" s="2" t="inlineStr">
        <is>
          <t>Hiranyagarbha Sukta translation</t>
        </is>
      </c>
      <c r="AE253" s="2" t="inlineStr">
        <is>
          <t>Track hymn context within Rigvedic collection.</t>
        </is>
      </c>
      <c r="AF253" s="2" t="inlineStr">
        <is>
          <t>Primeval egg motifs; creator emergence</t>
        </is>
      </c>
      <c r="AG253" s="2" t="inlineStr">
        <is>
          <t>High</t>
        </is>
      </c>
      <c r="AH253" s="2" t="inlineStr">
        <is>
          <t>High</t>
        </is>
      </c>
      <c r="AI253" s="2" t="inlineStr"/>
      <c r="AJ253" t="inlineStr">
        <is>
          <t>https://gretil.sub.uni-goettingen.de/gretil.html</t>
        </is>
      </c>
      <c r="AK253" t="inlineStr">
        <is>
          <t>https://www.wisdomlib.org/</t>
        </is>
      </c>
      <c r="AL253" t="inlineStr">
        <is>
          <t>https://asi.nic.in/</t>
        </is>
      </c>
      <c r="AM253" t="inlineStr">
        <is>
          <t>https://asi.nic.in/</t>
        </is>
      </c>
      <c r="AN253" t="inlineStr">
        <is>
          <t>https://asi.nic.in/</t>
        </is>
      </c>
      <c r="AO253" t="inlineStr">
        <is>
          <t>1) Fact base: GRETIL. 2) Translation/text: Wisdom Library. 3) Images/objects: ASI. 4) Context/explanation: ASI. 5) Geography/maps: ASI. Use Suggested_Search_Term inside each portal.</t>
        </is>
      </c>
      <c r="AP253" t="inlineStr">
        <is>
          <t>Mixed: direct portal homepages plus search-result URLs where the portal exposes a public search endpoint.</t>
        </is>
      </c>
    </row>
    <row r="254">
      <c r="A254" s="2" t="n">
        <v>253</v>
      </c>
      <c r="B254" s="7" t="inlineStr">
        <is>
          <t>BCE_to_1AD</t>
        </is>
      </c>
      <c r="C254" s="2" t="inlineStr">
        <is>
          <t>South Asia</t>
        </is>
      </c>
      <c r="D254" s="2" t="inlineStr">
        <is>
          <t>Vedic India</t>
        </is>
      </c>
      <c r="E254" s="2" t="n">
        <v>-900</v>
      </c>
      <c r="F254" s="2" t="n">
        <v>-700</v>
      </c>
      <c r="G254" s="2" t="inlineStr">
        <is>
          <t>Later Vedic</t>
        </is>
      </c>
      <c r="H254" s="2" t="inlineStr">
        <is>
          <t>Śatapatha Brāhmaṇa flood of Manu</t>
        </is>
      </c>
      <c r="I254" s="2" t="inlineStr">
        <is>
          <t>Text</t>
        </is>
      </c>
      <c r="J254" s="2" t="inlineStr">
        <is>
          <t>oral tradition later manuscripts</t>
        </is>
      </c>
      <c r="K254" s="2" t="inlineStr">
        <is>
          <t>flood</t>
        </is>
      </c>
      <c r="L254" s="2" t="inlineStr">
        <is>
          <t>preservation of life</t>
        </is>
      </c>
      <c r="M254" s="2" t="inlineStr">
        <is>
          <t>India</t>
        </is>
      </c>
      <c r="N254" s="2" t="inlineStr">
        <is>
          <t>North India</t>
        </is>
      </c>
      <c r="O254" s="2" t="inlineStr">
        <is>
          <t>Ritual prose text preserving the Manu flood narrative and post-flood sacrifice/order.</t>
        </is>
      </c>
      <c r="P254" s="2" t="inlineStr">
        <is>
          <t>Core flood comparator with direct bearing on Noah/Utnapishtim parallels.</t>
        </is>
      </c>
      <c r="Q254" s="2" t="inlineStr">
        <is>
          <t>High</t>
        </is>
      </c>
      <c r="R254" s="2" t="inlineStr">
        <is>
          <t>Yes</t>
        </is>
      </c>
      <c r="S254" s="2" t="inlineStr">
        <is>
          <t>Low</t>
        </is>
      </c>
      <c r="T254" s="2" t="inlineStr">
        <is>
          <t>GRETIL</t>
        </is>
      </c>
      <c r="U254" s="8" t="inlineStr">
        <is>
          <t>https://gretil.sub.uni-goettingen.de/gretil.html</t>
        </is>
      </c>
      <c r="V254" s="2" t="inlineStr">
        <is>
          <t>Wisdom Library</t>
        </is>
      </c>
      <c r="W254" s="8" t="inlineStr">
        <is>
          <t>https://www.wisdomlib.org/</t>
        </is>
      </c>
      <c r="X254" s="2" t="inlineStr">
        <is>
          <t>ASI</t>
        </is>
      </c>
      <c r="Y254" s="8" t="inlineStr">
        <is>
          <t>https://asi.nic.in/</t>
        </is>
      </c>
      <c r="Z254" s="2" t="inlineStr">
        <is>
          <t>ASI</t>
        </is>
      </c>
      <c r="AA254" s="8" t="inlineStr">
        <is>
          <t>https://asi.nic.in/</t>
        </is>
      </c>
      <c r="AB254" s="2" t="inlineStr">
        <is>
          <t>ASI</t>
        </is>
      </c>
      <c r="AC254" s="8" t="inlineStr">
        <is>
          <t>https://asi.nic.in/</t>
        </is>
      </c>
      <c r="AD254" s="2" t="inlineStr">
        <is>
          <t>Shatapatha Brahmana Manu flood</t>
        </is>
      </c>
      <c r="AE254" s="2" t="inlineStr">
        <is>
          <t>Ritual prose context is essential; not just a stand-alone flood tale.</t>
        </is>
      </c>
      <c r="AF254" s="2" t="inlineStr">
        <is>
          <t>Noah; Utnapishtim; Yima</t>
        </is>
      </c>
      <c r="AG254" s="2" t="inlineStr">
        <is>
          <t>Critical</t>
        </is>
      </c>
      <c r="AH254" s="2" t="inlineStr">
        <is>
          <t>High</t>
        </is>
      </c>
      <c r="AI254" s="2" t="inlineStr"/>
      <c r="AJ254" t="inlineStr">
        <is>
          <t>https://gretil.sub.uni-goettingen.de/gretil.html</t>
        </is>
      </c>
      <c r="AK254" t="inlineStr">
        <is>
          <t>https://www.wisdomlib.org/</t>
        </is>
      </c>
      <c r="AL254" t="inlineStr">
        <is>
          <t>https://asi.nic.in/</t>
        </is>
      </c>
      <c r="AM254" t="inlineStr">
        <is>
          <t>https://asi.nic.in/</t>
        </is>
      </c>
      <c r="AN254" t="inlineStr">
        <is>
          <t>https://asi.nic.in/</t>
        </is>
      </c>
      <c r="AO254" t="inlineStr">
        <is>
          <t>1) Fact base: GRETIL. 2) Translation/text: Wisdom Library. 3) Images/objects: ASI. 4) Context/explanation: ASI. 5) Geography/maps: ASI. Use Suggested_Search_Term inside each portal.</t>
        </is>
      </c>
      <c r="AP254" t="inlineStr">
        <is>
          <t>Mixed: direct portal homepages plus search-result URLs where the portal exposes a public search endpoint.</t>
        </is>
      </c>
    </row>
    <row r="255">
      <c r="A255" s="2" t="n">
        <v>254</v>
      </c>
      <c r="B255" s="7" t="inlineStr">
        <is>
          <t>BCE_to_1AD</t>
        </is>
      </c>
      <c r="C255" s="2" t="inlineStr">
        <is>
          <t>South Asia</t>
        </is>
      </c>
      <c r="D255" s="2" t="inlineStr">
        <is>
          <t>Buddhist</t>
        </is>
      </c>
      <c r="E255" s="2" t="n">
        <v>-400</v>
      </c>
      <c r="F255" s="2" t="n">
        <v>-1</v>
      </c>
      <c r="G255" s="2" t="inlineStr">
        <is>
          <t>Late BCE canonization window</t>
        </is>
      </c>
      <c r="H255" s="2" t="inlineStr">
        <is>
          <t>Aggañña Sutta</t>
        </is>
      </c>
      <c r="I255" s="2" t="inlineStr">
        <is>
          <t>Text</t>
        </is>
      </c>
      <c r="J255" s="2" t="inlineStr">
        <is>
          <t>oral tradition later manuscripts</t>
        </is>
      </c>
      <c r="K255" s="2" t="inlineStr">
        <is>
          <t>origins of society</t>
        </is>
      </c>
      <c r="L255" s="2" t="inlineStr">
        <is>
          <t>moral decline</t>
        </is>
      </c>
      <c r="M255" s="2" t="inlineStr">
        <is>
          <t>India / Sri Lanka canon tradition</t>
        </is>
      </c>
      <c r="N255" s="2" t="inlineStr">
        <is>
          <t>North India</t>
        </is>
      </c>
      <c r="O255" s="2" t="inlineStr">
        <is>
          <t>Buddhist discourse outlining cosmic cycles, social formation, and moral decline in satirical form.</t>
        </is>
      </c>
      <c r="P255" s="2" t="inlineStr">
        <is>
          <t>Excellent non-Brahmanical origin-of-society comparator.</t>
        </is>
      </c>
      <c r="Q255" s="2" t="inlineStr">
        <is>
          <t>Medium</t>
        </is>
      </c>
      <c r="R255" s="2" t="inlineStr">
        <is>
          <t>Yes</t>
        </is>
      </c>
      <c r="S255" s="2" t="inlineStr">
        <is>
          <t>Low</t>
        </is>
      </c>
      <c r="T255" s="2" t="inlineStr">
        <is>
          <t>SuttaCentral</t>
        </is>
      </c>
      <c r="U255" s="8" t="inlineStr">
        <is>
          <t>https://suttacentral.net/</t>
        </is>
      </c>
      <c r="V255" s="2" t="inlineStr">
        <is>
          <t>SuttaCentral</t>
        </is>
      </c>
      <c r="W255" s="8" t="inlineStr">
        <is>
          <t>https://suttacentral.net/</t>
        </is>
      </c>
      <c r="X255" s="2" t="inlineStr">
        <is>
          <t>ASI</t>
        </is>
      </c>
      <c r="Y255" s="8" t="inlineStr">
        <is>
          <t>https://asi.nic.in/</t>
        </is>
      </c>
      <c r="Z255" s="2" t="inlineStr">
        <is>
          <t>ASI</t>
        </is>
      </c>
      <c r="AA255" s="8" t="inlineStr">
        <is>
          <t>https://asi.nic.in/</t>
        </is>
      </c>
      <c r="AB255" s="2" t="inlineStr">
        <is>
          <t>ASI</t>
        </is>
      </c>
      <c r="AC255" s="8" t="inlineStr">
        <is>
          <t>https://asi.nic.in/</t>
        </is>
      </c>
      <c r="AD255" s="2" t="inlineStr">
        <is>
          <t>Agganna Sutta origins society</t>
        </is>
      </c>
      <c r="AE255" s="2" t="inlineStr">
        <is>
          <t>Canon preserved in later manuscripts but tied to early Buddhist oral tradition.</t>
        </is>
      </c>
      <c r="AF255" s="2" t="inlineStr">
        <is>
          <t>Genesis 6; Hesiod ages; political origins</t>
        </is>
      </c>
      <c r="AG255" s="2" t="inlineStr">
        <is>
          <t>Critical</t>
        </is>
      </c>
      <c r="AH255" s="2" t="inlineStr">
        <is>
          <t>Medium</t>
        </is>
      </c>
      <c r="AI255" s="2" t="inlineStr"/>
      <c r="AJ255" t="inlineStr">
        <is>
          <t>https://suttacentral.net/</t>
        </is>
      </c>
      <c r="AK255" t="inlineStr">
        <is>
          <t>https://suttacentral.net/</t>
        </is>
      </c>
      <c r="AL255" t="inlineStr">
        <is>
          <t>https://asi.nic.in/</t>
        </is>
      </c>
      <c r="AM255" t="inlineStr">
        <is>
          <t>https://asi.nic.in/</t>
        </is>
      </c>
      <c r="AN255" t="inlineStr">
        <is>
          <t>https://asi.nic.in/</t>
        </is>
      </c>
      <c r="AO255" t="inlineStr">
        <is>
          <t>1) Fact base: SuttaCentral. 2) Translation/text: SuttaCentral. 3) Images/objects: ASI. 4) Context/explanation: ASI. 5) Geography/maps: ASI. Use Suggested_Search_Term inside each portal.</t>
        </is>
      </c>
      <c r="AP255" t="inlineStr">
        <is>
          <t>Mixed: direct portal homepages plus search-result URLs where the portal exposes a public search endpoint.</t>
        </is>
      </c>
    </row>
    <row r="256">
      <c r="A256" s="2" t="n">
        <v>255</v>
      </c>
      <c r="B256" s="7" t="inlineStr">
        <is>
          <t>BCE_to_1AD</t>
        </is>
      </c>
      <c r="C256" s="2" t="inlineStr">
        <is>
          <t>South Asia</t>
        </is>
      </c>
      <c r="D256" s="2" t="inlineStr">
        <is>
          <t>Indus Civilization</t>
        </is>
      </c>
      <c r="E256" s="2" t="n">
        <v>-2600</v>
      </c>
      <c r="F256" s="2" t="n">
        <v>-1900</v>
      </c>
      <c r="G256" s="2" t="inlineStr">
        <is>
          <t>Indus Valley Civilization</t>
        </is>
      </c>
      <c r="H256" s="2" t="inlineStr">
        <is>
          <t>Pashupati seal / yogic horned figure</t>
        </is>
      </c>
      <c r="I256" s="2" t="inlineStr">
        <is>
          <t>Artifact / seal</t>
        </is>
      </c>
      <c r="J256" s="2" t="inlineStr">
        <is>
          <t>seal imagery</t>
        </is>
      </c>
      <c r="K256" s="2" t="inlineStr">
        <is>
          <t>deity interpretation</t>
        </is>
      </c>
      <c r="L256" s="2" t="inlineStr">
        <is>
          <t>animals / mastery</t>
        </is>
      </c>
      <c r="M256" s="2" t="inlineStr">
        <is>
          <t>Pakistan / India</t>
        </is>
      </c>
      <c r="N256" s="2" t="inlineStr">
        <is>
          <t>Mohenjo-daro</t>
        </is>
      </c>
      <c r="O256" s="2" t="inlineStr">
        <is>
          <t>Iconic Indus seal showing seated horned figure with animals; interpretation remains debated.</t>
        </is>
      </c>
      <c r="P256" s="2" t="inlineStr">
        <is>
          <t>Frequently cited in proto-Shiva and lost-civilization discussions; needs careful, non-dogmatic treatment.</t>
        </is>
      </c>
      <c r="Q256" s="2" t="inlineStr">
        <is>
          <t>High</t>
        </is>
      </c>
      <c r="R256" s="2" t="inlineStr">
        <is>
          <t>No</t>
        </is>
      </c>
      <c r="S256" s="2" t="inlineStr">
        <is>
          <t>Yes</t>
        </is>
      </c>
      <c r="T256" s="2" t="inlineStr">
        <is>
          <t>ASI</t>
        </is>
      </c>
      <c r="U256" s="8" t="inlineStr">
        <is>
          <t>https://asi.nic.in/</t>
        </is>
      </c>
      <c r="V256" s="2" t="inlineStr">
        <is>
          <t>ASI</t>
        </is>
      </c>
      <c r="W256" s="8" t="inlineStr">
        <is>
          <t>https://asi.nic.in/</t>
        </is>
      </c>
      <c r="X256" s="2" t="inlineStr">
        <is>
          <t>British Museum Collection</t>
        </is>
      </c>
      <c r="Y256" s="8" t="inlineStr">
        <is>
          <t>https://www.britishmuseum.org/collection</t>
        </is>
      </c>
      <c r="Z256" s="2" t="inlineStr">
        <is>
          <t>UNESCO</t>
        </is>
      </c>
      <c r="AA256" s="8" t="inlineStr">
        <is>
          <t>https://whc.unesco.org/</t>
        </is>
      </c>
      <c r="AB256" s="2" t="inlineStr">
        <is>
          <t>ASI</t>
        </is>
      </c>
      <c r="AC256" s="8" t="inlineStr">
        <is>
          <t>https://asi.nic.in/</t>
        </is>
      </c>
      <c r="AD256" s="2" t="inlineStr">
        <is>
          <t>Pashupati seal Indus</t>
        </is>
      </c>
      <c r="AE256" s="2" t="inlineStr">
        <is>
          <t>Undeciphered script means iconographic caution is mandatory.</t>
        </is>
      </c>
      <c r="AF256" s="2" t="inlineStr">
        <is>
          <t>Proto-Shiva debates; lord of animals motifs</t>
        </is>
      </c>
      <c r="AG256" s="2" t="inlineStr">
        <is>
          <t>Critical</t>
        </is>
      </c>
      <c r="AH256" s="2" t="inlineStr">
        <is>
          <t>High</t>
        </is>
      </c>
      <c r="AI256" s="2" t="inlineStr"/>
      <c r="AJ256" t="inlineStr">
        <is>
          <t>https://asi.nic.in/</t>
        </is>
      </c>
      <c r="AK256" t="inlineStr">
        <is>
          <t>https://asi.nic.in/</t>
        </is>
      </c>
      <c r="AL256" t="inlineStr">
        <is>
          <t>https://www.britishmuseum.org/collection/search?keyword=Pashupati+seal+Indus</t>
        </is>
      </c>
      <c r="AM256" t="inlineStr">
        <is>
          <t>https://whc.unesco.org/en/search/?searchterm=Pashupati+seal+Indus</t>
        </is>
      </c>
      <c r="AN256" t="inlineStr">
        <is>
          <t>https://asi.nic.in/</t>
        </is>
      </c>
      <c r="AO256" t="inlineStr">
        <is>
          <t>1) Fact base: ASI. 2) Translation/text: ASI. 3) Images/objects: British Museum Collection. 4) Context/explanation: UNESCO. 5) Geography/maps: ASI. Use Suggested_Search_Term inside each portal.</t>
        </is>
      </c>
      <c r="AP256" t="inlineStr">
        <is>
          <t>Mixed: direct portal homepages plus search-result URLs where the portal exposes a public search endpoint.</t>
        </is>
      </c>
    </row>
    <row r="257">
      <c r="A257" s="2" t="n">
        <v>256</v>
      </c>
      <c r="B257" s="7" t="inlineStr">
        <is>
          <t>BCE_to_1AD</t>
        </is>
      </c>
      <c r="C257" s="2" t="inlineStr">
        <is>
          <t>South Asia</t>
        </is>
      </c>
      <c r="D257" s="2" t="inlineStr">
        <is>
          <t>Mauryan India</t>
        </is>
      </c>
      <c r="E257" s="2" t="n">
        <v>-260</v>
      </c>
      <c r="F257" s="2" t="n">
        <v>-232</v>
      </c>
      <c r="G257" s="2" t="inlineStr">
        <is>
          <t>3rd c BCE</t>
        </is>
      </c>
      <c r="H257" s="2" t="inlineStr">
        <is>
          <t>Ashokan Edicts</t>
        </is>
      </c>
      <c r="I257" s="2" t="inlineStr">
        <is>
          <t>Inscription corpus</t>
        </is>
      </c>
      <c r="J257" s="2" t="inlineStr">
        <is>
          <t>rock and pillar inscriptions</t>
        </is>
      </c>
      <c r="K257" s="2" t="inlineStr">
        <is>
          <t>ethics</t>
        </is>
      </c>
      <c r="L257" s="2" t="inlineStr">
        <is>
          <t>royal dharma</t>
        </is>
      </c>
      <c r="M257" s="2" t="inlineStr">
        <is>
          <t>India</t>
        </is>
      </c>
      <c r="N257" s="2" t="inlineStr">
        <is>
          <t>Mauryan Empire</t>
        </is>
      </c>
      <c r="O257" s="2" t="inlineStr">
        <is>
          <t>Imperial inscriptions of Ashoka on morality, governance, pilgrimage, and dhamma.</t>
        </is>
      </c>
      <c r="P257" s="2" t="inlineStr">
        <is>
          <t>Best historical-religious inscription corpus in late BCE South Asia.</t>
        </is>
      </c>
      <c r="Q257" s="2" t="inlineStr">
        <is>
          <t>Low</t>
        </is>
      </c>
      <c r="R257" s="2" t="inlineStr">
        <is>
          <t>Yes</t>
        </is>
      </c>
      <c r="S257" s="2" t="inlineStr">
        <is>
          <t>Yes</t>
        </is>
      </c>
      <c r="T257" s="2" t="inlineStr">
        <is>
          <t>ASI</t>
        </is>
      </c>
      <c r="U257" s="8" t="inlineStr">
        <is>
          <t>https://asi.nic.in/</t>
        </is>
      </c>
      <c r="V257" s="2" t="inlineStr">
        <is>
          <t>ASI</t>
        </is>
      </c>
      <c r="W257" s="8" t="inlineStr">
        <is>
          <t>https://asi.nic.in/</t>
        </is>
      </c>
      <c r="X257" s="2" t="inlineStr">
        <is>
          <t>ASI</t>
        </is>
      </c>
      <c r="Y257" s="8" t="inlineStr">
        <is>
          <t>https://asi.nic.in/</t>
        </is>
      </c>
      <c r="Z257" s="2" t="inlineStr">
        <is>
          <t>ASI</t>
        </is>
      </c>
      <c r="AA257" s="8" t="inlineStr">
        <is>
          <t>https://asi.nic.in/</t>
        </is>
      </c>
      <c r="AB257" s="2" t="inlineStr">
        <is>
          <t>ASI</t>
        </is>
      </c>
      <c r="AC257" s="8" t="inlineStr">
        <is>
          <t>https://asi.nic.in/</t>
        </is>
      </c>
      <c r="AD257" s="2" t="inlineStr">
        <is>
          <t>Ashokan edicts dhamma</t>
        </is>
      </c>
      <c r="AE257" s="2" t="inlineStr">
        <is>
          <t>Historical inscriptions; not mythic, but crucial for beliefs in public life.</t>
        </is>
      </c>
      <c r="AF257" s="2" t="inlineStr">
        <is>
          <t>Behistun; royal ethics inscriptions</t>
        </is>
      </c>
      <c r="AG257" s="2" t="inlineStr">
        <is>
          <t>Critical</t>
        </is>
      </c>
      <c r="AH257" s="2" t="inlineStr">
        <is>
          <t>Medium</t>
        </is>
      </c>
      <c r="AI257" s="2" t="inlineStr"/>
      <c r="AJ257" t="inlineStr">
        <is>
          <t>https://asi.nic.in/</t>
        </is>
      </c>
      <c r="AK257" t="inlineStr">
        <is>
          <t>https://asi.nic.in/</t>
        </is>
      </c>
      <c r="AL257" t="inlineStr">
        <is>
          <t>https://asi.nic.in/</t>
        </is>
      </c>
      <c r="AM257" t="inlineStr">
        <is>
          <t>https://asi.nic.in/</t>
        </is>
      </c>
      <c r="AN257" t="inlineStr">
        <is>
          <t>https://asi.nic.in/</t>
        </is>
      </c>
      <c r="AO257" t="inlineStr">
        <is>
          <t>1) Fact base: ASI. 2) Translation/text: ASI. 3) Images/objects: ASI. 4) Context/explanation: ASI. 5) Geography/maps: ASI. Use Suggested_Search_Term inside each portal.</t>
        </is>
      </c>
      <c r="AP257" t="inlineStr">
        <is>
          <t>Mixed: direct portal homepages plus search-result URLs where the portal exposes a public search endpoint.</t>
        </is>
      </c>
    </row>
    <row r="258">
      <c r="A258" s="2" t="n">
        <v>257</v>
      </c>
      <c r="B258" s="7" t="inlineStr">
        <is>
          <t>BCE_to_1AD</t>
        </is>
      </c>
      <c r="C258" s="2" t="inlineStr">
        <is>
          <t>China</t>
        </is>
      </c>
      <c r="D258" s="2" t="inlineStr">
        <is>
          <t>Shang China</t>
        </is>
      </c>
      <c r="E258" s="2" t="n">
        <v>-1250</v>
      </c>
      <c r="F258" s="2" t="n">
        <v>-1045</v>
      </c>
      <c r="G258" s="2" t="inlineStr">
        <is>
          <t>Late Shang</t>
        </is>
      </c>
      <c r="H258" s="2" t="inlineStr">
        <is>
          <t>Oracle bone inscriptions</t>
        </is>
      </c>
      <c r="I258" s="2" t="inlineStr">
        <is>
          <t>Inscription corpus</t>
        </is>
      </c>
      <c r="J258" s="2" t="inlineStr">
        <is>
          <t>bone inscriptions</t>
        </is>
      </c>
      <c r="K258" s="2" t="inlineStr">
        <is>
          <t>divination</t>
        </is>
      </c>
      <c r="L258" s="2" t="inlineStr">
        <is>
          <t>ancestor religion</t>
        </is>
      </c>
      <c r="M258" s="2" t="inlineStr">
        <is>
          <t>China</t>
        </is>
      </c>
      <c r="N258" s="2" t="inlineStr">
        <is>
          <t>Anyang / Shang</t>
        </is>
      </c>
      <c r="O258" s="2" t="inlineStr">
        <is>
          <t>Earliest secure Chinese writing recording divinations, ancestors, sacrifices, weather, and warfare.</t>
        </is>
      </c>
      <c r="P258" s="2" t="inlineStr">
        <is>
          <t>Foundational for what we can directly read about early Chinese belief.</t>
        </is>
      </c>
      <c r="Q258" s="2" t="inlineStr">
        <is>
          <t>Medium</t>
        </is>
      </c>
      <c r="R258" s="2" t="inlineStr">
        <is>
          <t>Partly</t>
        </is>
      </c>
      <c r="S258" s="2" t="inlineStr">
        <is>
          <t>Yes</t>
        </is>
      </c>
      <c r="T258" s="2" t="inlineStr">
        <is>
          <t>Chinese Text Project</t>
        </is>
      </c>
      <c r="U258" s="8" t="inlineStr">
        <is>
          <t>https://ctext.org/</t>
        </is>
      </c>
      <c r="V258" s="2" t="inlineStr">
        <is>
          <t>Chinese Text Project</t>
        </is>
      </c>
      <c r="W258" s="8" t="inlineStr">
        <is>
          <t>https://ctext.org/</t>
        </is>
      </c>
      <c r="X258" s="2" t="inlineStr">
        <is>
          <t>Smithsonian Open Access</t>
        </is>
      </c>
      <c r="Y258" s="8" t="inlineStr">
        <is>
          <t>https://www.si.edu/openaccess</t>
        </is>
      </c>
      <c r="Z258" s="2" t="inlineStr">
        <is>
          <t>UNESCO</t>
        </is>
      </c>
      <c r="AA258" s="8" t="inlineStr">
        <is>
          <t>https://whc.unesco.org/</t>
        </is>
      </c>
      <c r="AB258" s="2" t="inlineStr">
        <is>
          <t>UNESCO</t>
        </is>
      </c>
      <c r="AC258" s="8" t="inlineStr">
        <is>
          <t>https://whc.unesco.org/</t>
        </is>
      </c>
      <c r="AD258" s="2" t="inlineStr">
        <is>
          <t>oracle bones ancestor divination</t>
        </is>
      </c>
      <c r="AE258" s="2" t="inlineStr">
        <is>
          <t>Translation access varies; museum images are important.</t>
        </is>
      </c>
      <c r="AF258" s="2" t="inlineStr">
        <is>
          <t>Mesopotamian omen texts; ancestral religion</t>
        </is>
      </c>
      <c r="AG258" s="2" t="inlineStr">
        <is>
          <t>Critical</t>
        </is>
      </c>
      <c r="AH258" s="2" t="inlineStr">
        <is>
          <t>High</t>
        </is>
      </c>
      <c r="AI258" s="2" t="inlineStr"/>
      <c r="AJ258" t="inlineStr">
        <is>
          <t>https://ctext.org/search.pl?if=en&amp;searchu=oracle+bones+ancestor+divination</t>
        </is>
      </c>
      <c r="AK258" t="inlineStr">
        <is>
          <t>https://ctext.org/search.pl?if=en&amp;searchu=oracle+bones+ancestor+divination</t>
        </is>
      </c>
      <c r="AL258" t="inlineStr">
        <is>
          <t>https://www.si.edu/collection/search?edan_q=oracle+bones+ancestor+divination</t>
        </is>
      </c>
      <c r="AM258" t="inlineStr">
        <is>
          <t>https://whc.unesco.org/en/search/?searchterm=oracle+bones+ancestor+divination</t>
        </is>
      </c>
      <c r="AN258" t="inlineStr">
        <is>
          <t>https://whc.unesco.org/en/search/?searchterm=oracle+bones+ancestor+divination</t>
        </is>
      </c>
      <c r="AO258" t="inlineStr">
        <is>
          <t>1) Fact base: Chinese Text Project. 2) Translation/text: Chinese Text Project. 3) Images/objects: Smithsonian Open Access. 4) Context/explanation: UNESCO. 5) Geography/maps: UNESCO. Use Suggested_Search_Term inside each portal.</t>
        </is>
      </c>
      <c r="AP258" t="inlineStr">
        <is>
          <t>Mixed: direct portal homepages plus search-result URLs where the portal exposes a public search endpoint.</t>
        </is>
      </c>
    </row>
    <row r="259">
      <c r="A259" s="2" t="n">
        <v>258</v>
      </c>
      <c r="B259" s="7" t="inlineStr">
        <is>
          <t>BCE_to_1AD</t>
        </is>
      </c>
      <c r="C259" s="2" t="inlineStr">
        <is>
          <t>China</t>
        </is>
      </c>
      <c r="D259" s="2" t="inlineStr">
        <is>
          <t>Classical Chinese</t>
        </is>
      </c>
      <c r="E259" s="2" t="n">
        <v>-500</v>
      </c>
      <c r="F259" s="2" t="n">
        <v>-200</v>
      </c>
      <c r="G259" s="2" t="inlineStr">
        <is>
          <t>Warring States</t>
        </is>
      </c>
      <c r="H259" s="2" t="inlineStr">
        <is>
          <t>Shujing / Book of Documents</t>
        </is>
      </c>
      <c r="I259" s="2" t="inlineStr">
        <is>
          <t>Text tradition</t>
        </is>
      </c>
      <c r="J259" s="2" t="inlineStr">
        <is>
          <t>transmitted text</t>
        </is>
      </c>
      <c r="K259" s="2" t="inlineStr">
        <is>
          <t>kingship</t>
        </is>
      </c>
      <c r="L259" s="2" t="inlineStr">
        <is>
          <t>flood control</t>
        </is>
      </c>
      <c r="M259" s="2" t="inlineStr">
        <is>
          <t>China</t>
        </is>
      </c>
      <c r="N259" s="2" t="inlineStr">
        <is>
          <t>China</t>
        </is>
      </c>
      <c r="O259" s="2" t="inlineStr">
        <is>
          <t>Classical collection including speeches and chapters tied to early kingship and governance.</t>
        </is>
      </c>
      <c r="P259" s="2" t="inlineStr">
        <is>
          <t>Important for Yu the Great, mandate, and remembered antiquity.</t>
        </is>
      </c>
      <c r="Q259" s="2" t="inlineStr">
        <is>
          <t>Medium</t>
        </is>
      </c>
      <c r="R259" s="2" t="inlineStr">
        <is>
          <t>Yes</t>
        </is>
      </c>
      <c r="S259" s="2" t="inlineStr">
        <is>
          <t>Low</t>
        </is>
      </c>
      <c r="T259" s="2" t="inlineStr">
        <is>
          <t>Chinese Text Project</t>
        </is>
      </c>
      <c r="U259" s="8" t="inlineStr">
        <is>
          <t>https://ctext.org/</t>
        </is>
      </c>
      <c r="V259" s="2" t="inlineStr">
        <is>
          <t>Chinese Text Project</t>
        </is>
      </c>
      <c r="W259" s="8" t="inlineStr">
        <is>
          <t>https://ctext.org/</t>
        </is>
      </c>
      <c r="X259" s="2" t="inlineStr">
        <is>
          <t>UNESCO</t>
        </is>
      </c>
      <c r="Y259" s="8" t="inlineStr">
        <is>
          <t>https://whc.unesco.org/</t>
        </is>
      </c>
      <c r="Z259" s="2" t="inlineStr">
        <is>
          <t>UNESCO</t>
        </is>
      </c>
      <c r="AA259" s="8" t="inlineStr">
        <is>
          <t>https://whc.unesco.org/</t>
        </is>
      </c>
      <c r="AB259" s="2" t="inlineStr">
        <is>
          <t>UNESCO</t>
        </is>
      </c>
      <c r="AC259" s="8" t="inlineStr">
        <is>
          <t>https://whc.unesco.org/</t>
        </is>
      </c>
      <c r="AD259" s="2" t="inlineStr">
        <is>
          <t>Shujing Yu Gong translation</t>
        </is>
      </c>
      <c r="AE259" s="2" t="inlineStr">
        <is>
          <t>Transmitted text with layered composition.</t>
        </is>
      </c>
      <c r="AF259" s="2" t="inlineStr">
        <is>
          <t>Yu the Great; royal historiography</t>
        </is>
      </c>
      <c r="AG259" s="2" t="inlineStr">
        <is>
          <t>Critical</t>
        </is>
      </c>
      <c r="AH259" s="2" t="inlineStr">
        <is>
          <t>High</t>
        </is>
      </c>
      <c r="AI259" s="2" t="inlineStr"/>
      <c r="AJ259" t="inlineStr">
        <is>
          <t>https://ctext.org/search.pl?if=en&amp;searchu=Shujing+Yu+Gong+translation</t>
        </is>
      </c>
      <c r="AK259" t="inlineStr">
        <is>
          <t>https://ctext.org/search.pl?if=en&amp;searchu=Shujing+Yu+Gong+translation</t>
        </is>
      </c>
      <c r="AL259" t="inlineStr">
        <is>
          <t>https://whc.unesco.org/en/search/?searchterm=Shujing+Yu+Gong+translation</t>
        </is>
      </c>
      <c r="AM259" t="inlineStr">
        <is>
          <t>https://whc.unesco.org/en/search/?searchterm=Shujing+Yu+Gong+translation</t>
        </is>
      </c>
      <c r="AN259" t="inlineStr">
        <is>
          <t>https://whc.unesco.org/en/search/?searchterm=Shujing+Yu+Gong+translation</t>
        </is>
      </c>
      <c r="AO259" t="inlineStr">
        <is>
          <t>1) Fact base: Chinese Text Project. 2) Translation/text: Chinese Text Project. 3) Images/objects: UNESCO. 4) Context/explanation: UNESCO. 5) Geography/maps: UNESCO. Use Suggested_Search_Term inside each portal.</t>
        </is>
      </c>
      <c r="AP259" t="inlineStr">
        <is>
          <t>Mixed: direct portal homepages plus search-result URLs where the portal exposes a public search endpoint.</t>
        </is>
      </c>
    </row>
    <row r="260">
      <c r="A260" s="2" t="n">
        <v>259</v>
      </c>
      <c r="B260" s="7" t="inlineStr">
        <is>
          <t>BCE_to_1AD</t>
        </is>
      </c>
      <c r="C260" s="2" t="inlineStr">
        <is>
          <t>China</t>
        </is>
      </c>
      <c r="D260" s="2" t="inlineStr">
        <is>
          <t>Classical Chinese</t>
        </is>
      </c>
      <c r="E260" s="2" t="n">
        <v>-400</v>
      </c>
      <c r="F260" s="2" t="n">
        <v>-100</v>
      </c>
      <c r="G260" s="2" t="inlineStr">
        <is>
          <t>Late Warring States-Han</t>
        </is>
      </c>
      <c r="H260" s="2" t="inlineStr">
        <is>
          <t>Shan Hai Jing</t>
        </is>
      </c>
      <c r="I260" s="2" t="inlineStr">
        <is>
          <t>Text tradition</t>
        </is>
      </c>
      <c r="J260" s="2" t="inlineStr">
        <is>
          <t>transmitted text</t>
        </is>
      </c>
      <c r="K260" s="2" t="inlineStr">
        <is>
          <t>mythic geography</t>
        </is>
      </c>
      <c r="L260" s="2" t="inlineStr">
        <is>
          <t>monsters / sacred mountains</t>
        </is>
      </c>
      <c r="M260" s="2" t="inlineStr">
        <is>
          <t>China</t>
        </is>
      </c>
      <c r="N260" s="2" t="inlineStr">
        <is>
          <t>Mythic China</t>
        </is>
      </c>
      <c r="O260" s="2" t="inlineStr">
        <is>
          <t>Text of mountains, seas, beings, regions, and wonders often treated as myth-geography.</t>
        </is>
      </c>
      <c r="P260" s="2" t="inlineStr">
        <is>
          <t>One of the richest Chinese sources for mythic landscape and primordial beings.</t>
        </is>
      </c>
      <c r="Q260" s="2" t="inlineStr">
        <is>
          <t>High</t>
        </is>
      </c>
      <c r="R260" s="2" t="inlineStr">
        <is>
          <t>Yes</t>
        </is>
      </c>
      <c r="S260" s="2" t="inlineStr">
        <is>
          <t>Low</t>
        </is>
      </c>
      <c r="T260" s="2" t="inlineStr">
        <is>
          <t>Chinese Text Project</t>
        </is>
      </c>
      <c r="U260" s="8" t="inlineStr">
        <is>
          <t>https://ctext.org/</t>
        </is>
      </c>
      <c r="V260" s="2" t="inlineStr">
        <is>
          <t>Chinese Text Project</t>
        </is>
      </c>
      <c r="W260" s="8" t="inlineStr">
        <is>
          <t>https://ctext.org/</t>
        </is>
      </c>
      <c r="X260" s="2" t="inlineStr">
        <is>
          <t>UNESCO</t>
        </is>
      </c>
      <c r="Y260" s="8" t="inlineStr">
        <is>
          <t>https://whc.unesco.org/</t>
        </is>
      </c>
      <c r="Z260" s="2" t="inlineStr">
        <is>
          <t>UNESCO</t>
        </is>
      </c>
      <c r="AA260" s="8" t="inlineStr">
        <is>
          <t>https://whc.unesco.org/</t>
        </is>
      </c>
      <c r="AB260" s="2" t="inlineStr">
        <is>
          <t>UNESCO</t>
        </is>
      </c>
      <c r="AC260" s="8" t="inlineStr">
        <is>
          <t>https://whc.unesco.org/</t>
        </is>
      </c>
      <c r="AD260" s="2" t="inlineStr">
        <is>
          <t>Shan Hai Jing translation</t>
        </is>
      </c>
      <c r="AE260" s="2" t="inlineStr">
        <is>
          <t>Composite and difficult; separate transmitted text from literal cartography.</t>
        </is>
      </c>
      <c r="AF260" s="2" t="inlineStr">
        <is>
          <t>Primeval maps; sacred geography</t>
        </is>
      </c>
      <c r="AG260" s="2" t="inlineStr">
        <is>
          <t>Critical</t>
        </is>
      </c>
      <c r="AH260" s="2" t="inlineStr">
        <is>
          <t>High</t>
        </is>
      </c>
      <c r="AI260" s="2" t="inlineStr"/>
      <c r="AJ260" t="inlineStr">
        <is>
          <t>https://ctext.org/search.pl?if=en&amp;searchu=Shan+Hai+Jing+translation</t>
        </is>
      </c>
      <c r="AK260" t="inlineStr">
        <is>
          <t>https://ctext.org/search.pl?if=en&amp;searchu=Shan+Hai+Jing+translation</t>
        </is>
      </c>
      <c r="AL260" t="inlineStr">
        <is>
          <t>https://whc.unesco.org/en/search/?searchterm=Shan+Hai+Jing+translation</t>
        </is>
      </c>
      <c r="AM260" t="inlineStr">
        <is>
          <t>https://whc.unesco.org/en/search/?searchterm=Shan+Hai+Jing+translation</t>
        </is>
      </c>
      <c r="AN260" t="inlineStr">
        <is>
          <t>https://whc.unesco.org/en/search/?searchterm=Shan+Hai+Jing+translation</t>
        </is>
      </c>
      <c r="AO260" t="inlineStr">
        <is>
          <t>1) Fact base: Chinese Text Project. 2) Translation/text: Chinese Text Project. 3) Images/objects: UNESCO. 4) Context/explanation: UNESCO. 5) Geography/maps: UNESCO. Use Suggested_Search_Term inside each portal.</t>
        </is>
      </c>
      <c r="AP260" t="inlineStr">
        <is>
          <t>Mixed: direct portal homepages plus search-result URLs where the portal exposes a public search endpoint.</t>
        </is>
      </c>
    </row>
    <row r="261">
      <c r="A261" s="2" t="n">
        <v>260</v>
      </c>
      <c r="B261" s="7" t="inlineStr">
        <is>
          <t>BCE_to_1AD</t>
        </is>
      </c>
      <c r="C261" s="2" t="inlineStr">
        <is>
          <t>China</t>
        </is>
      </c>
      <c r="D261" s="2" t="inlineStr">
        <is>
          <t>Han China</t>
        </is>
      </c>
      <c r="E261" s="2" t="n">
        <v>-140</v>
      </c>
      <c r="F261" s="2" t="n">
        <v>-100</v>
      </c>
      <c r="G261" s="2" t="inlineStr">
        <is>
          <t>2nd c BCE</t>
        </is>
      </c>
      <c r="H261" s="2" t="inlineStr">
        <is>
          <t>Huainanzi</t>
        </is>
      </c>
      <c r="I261" s="2" t="inlineStr">
        <is>
          <t>Text tradition</t>
        </is>
      </c>
      <c r="J261" s="2" t="inlineStr">
        <is>
          <t>transmitted text</t>
        </is>
      </c>
      <c r="K261" s="2" t="inlineStr">
        <is>
          <t>creation</t>
        </is>
      </c>
      <c r="L261" s="2" t="inlineStr">
        <is>
          <t>world ordering</t>
        </is>
      </c>
      <c r="M261" s="2" t="inlineStr">
        <is>
          <t>China</t>
        </is>
      </c>
      <c r="N261" s="2" t="inlineStr">
        <is>
          <t>Han China</t>
        </is>
      </c>
      <c r="O261" s="2" t="inlineStr">
        <is>
          <t>Philosophical compilation with cosmogony, rulers, flood traditions, and macrocosm-microcosm thinking.</t>
        </is>
      </c>
      <c r="P261" s="2" t="inlineStr">
        <is>
          <t>One of the best Chinese comparators for creation and flood thought before 1 AD.</t>
        </is>
      </c>
      <c r="Q261" s="2" t="inlineStr">
        <is>
          <t>Medium</t>
        </is>
      </c>
      <c r="R261" s="2" t="inlineStr">
        <is>
          <t>Yes</t>
        </is>
      </c>
      <c r="S261" s="2" t="inlineStr">
        <is>
          <t>Low</t>
        </is>
      </c>
      <c r="T261" s="2" t="inlineStr">
        <is>
          <t>Chinese Text Project</t>
        </is>
      </c>
      <c r="U261" s="8" t="inlineStr">
        <is>
          <t>https://ctext.org/</t>
        </is>
      </c>
      <c r="V261" s="2" t="inlineStr">
        <is>
          <t>Chinese Text Project</t>
        </is>
      </c>
      <c r="W261" s="8" t="inlineStr">
        <is>
          <t>https://ctext.org/</t>
        </is>
      </c>
      <c r="X261" s="2" t="inlineStr">
        <is>
          <t>UNESCO</t>
        </is>
      </c>
      <c r="Y261" s="8" t="inlineStr">
        <is>
          <t>https://whc.unesco.org/</t>
        </is>
      </c>
      <c r="Z261" s="2" t="inlineStr">
        <is>
          <t>UNESCO</t>
        </is>
      </c>
      <c r="AA261" s="8" t="inlineStr">
        <is>
          <t>https://whc.unesco.org/</t>
        </is>
      </c>
      <c r="AB261" s="2" t="inlineStr">
        <is>
          <t>UNESCO</t>
        </is>
      </c>
      <c r="AC261" s="8" t="inlineStr">
        <is>
          <t>https://whc.unesco.org/</t>
        </is>
      </c>
      <c r="AD261" s="2" t="inlineStr">
        <is>
          <t>Huainanzi creation flood translation</t>
        </is>
      </c>
      <c r="AE261" s="2" t="inlineStr">
        <is>
          <t>Han synthesis; distinguish it from Shang evidence.</t>
        </is>
      </c>
      <c r="AF261" s="2" t="inlineStr">
        <is>
          <t>Yu flood; cosmological ordering</t>
        </is>
      </c>
      <c r="AG261" s="2" t="inlineStr">
        <is>
          <t>Critical</t>
        </is>
      </c>
      <c r="AH261" s="2" t="inlineStr">
        <is>
          <t>High</t>
        </is>
      </c>
      <c r="AI261" s="2" t="inlineStr"/>
      <c r="AJ261" t="inlineStr">
        <is>
          <t>https://ctext.org/search.pl?if=en&amp;searchu=Huainanzi+creation+flood+translation</t>
        </is>
      </c>
      <c r="AK261" t="inlineStr">
        <is>
          <t>https://ctext.org/search.pl?if=en&amp;searchu=Huainanzi+creation+flood+translation</t>
        </is>
      </c>
      <c r="AL261" t="inlineStr">
        <is>
          <t>https://whc.unesco.org/en/search/?searchterm=Huainanzi+creation+flood+translation</t>
        </is>
      </c>
      <c r="AM261" t="inlineStr">
        <is>
          <t>https://whc.unesco.org/en/search/?searchterm=Huainanzi+creation+flood+translation</t>
        </is>
      </c>
      <c r="AN261" t="inlineStr">
        <is>
          <t>https://whc.unesco.org/en/search/?searchterm=Huainanzi+creation+flood+translation</t>
        </is>
      </c>
      <c r="AO261" t="inlineStr">
        <is>
          <t>1) Fact base: Chinese Text Project. 2) Translation/text: Chinese Text Project. 3) Images/objects: UNESCO. 4) Context/explanation: UNESCO. 5) Geography/maps: UNESCO. Use Suggested_Search_Term inside each portal.</t>
        </is>
      </c>
      <c r="AP261" t="inlineStr">
        <is>
          <t>Mixed: direct portal homepages plus search-result URLs where the portal exposes a public search endpoint.</t>
        </is>
      </c>
    </row>
    <row r="262">
      <c r="A262" s="2" t="n">
        <v>261</v>
      </c>
      <c r="B262" s="7" t="inlineStr">
        <is>
          <t>BCE_to_1AD</t>
        </is>
      </c>
      <c r="C262" s="2" t="inlineStr">
        <is>
          <t>China</t>
        </is>
      </c>
      <c r="D262" s="2" t="inlineStr">
        <is>
          <t>Warring States China</t>
        </is>
      </c>
      <c r="E262" s="2" t="n">
        <v>-350</v>
      </c>
      <c r="F262" s="2" t="n">
        <v>-300</v>
      </c>
      <c r="G262" s="2" t="inlineStr">
        <is>
          <t>4th c BCE</t>
        </is>
      </c>
      <c r="H262" s="2" t="inlineStr">
        <is>
          <t>Chu Silk Manuscript</t>
        </is>
      </c>
      <c r="I262" s="2" t="inlineStr">
        <is>
          <t>Manuscript</t>
        </is>
      </c>
      <c r="J262" s="2" t="inlineStr">
        <is>
          <t>silk manuscript</t>
        </is>
      </c>
      <c r="K262" s="2" t="inlineStr">
        <is>
          <t>cosmology</t>
        </is>
      </c>
      <c r="L262" s="2" t="inlineStr">
        <is>
          <t>calendar</t>
        </is>
      </c>
      <c r="M262" s="2" t="inlineStr">
        <is>
          <t>China</t>
        </is>
      </c>
      <c r="N262" s="2" t="inlineStr">
        <is>
          <t>Chu region</t>
        </is>
      </c>
      <c r="O262" s="2" t="inlineStr">
        <is>
          <t>Early silk manuscript with cosmological and calendrical material.</t>
        </is>
      </c>
      <c r="P262" s="2" t="inlineStr">
        <is>
          <t>Important because it is a direct manuscript artifact, not only transmitted text.</t>
        </is>
      </c>
      <c r="Q262" s="2" t="inlineStr">
        <is>
          <t>Medium</t>
        </is>
      </c>
      <c r="R262" s="2" t="inlineStr">
        <is>
          <t>Partly</t>
        </is>
      </c>
      <c r="S262" s="2" t="inlineStr">
        <is>
          <t>Yes</t>
        </is>
      </c>
      <c r="T262" s="2" t="inlineStr">
        <is>
          <t>Smithsonian Open Access</t>
        </is>
      </c>
      <c r="U262" s="8" t="inlineStr">
        <is>
          <t>https://www.si.edu/openaccess</t>
        </is>
      </c>
      <c r="V262" s="2" t="inlineStr">
        <is>
          <t>Internet Archive</t>
        </is>
      </c>
      <c r="W262" s="8" t="inlineStr">
        <is>
          <t>https://archive.org/</t>
        </is>
      </c>
      <c r="X262" s="2" t="inlineStr">
        <is>
          <t>Smithsonian Open Access</t>
        </is>
      </c>
      <c r="Y262" s="8" t="inlineStr">
        <is>
          <t>https://www.si.edu/openaccess</t>
        </is>
      </c>
      <c r="Z262" s="2" t="inlineStr">
        <is>
          <t>UNESCO</t>
        </is>
      </c>
      <c r="AA262" s="8" t="inlineStr">
        <is>
          <t>https://whc.unesco.org/</t>
        </is>
      </c>
      <c r="AB262" s="2" t="inlineStr">
        <is>
          <t>UNESCO</t>
        </is>
      </c>
      <c r="AC262" s="8" t="inlineStr">
        <is>
          <t>https://whc.unesco.org/</t>
        </is>
      </c>
      <c r="AD262" s="2" t="inlineStr">
        <is>
          <t>Chu Silk Manuscript cosmology</t>
        </is>
      </c>
      <c r="AE262" s="2" t="inlineStr">
        <is>
          <t>Fragmentary artifact with scholarly translation history.</t>
        </is>
      </c>
      <c r="AF262" s="2" t="inlineStr">
        <is>
          <t>Calendars; cosmic ordering</t>
        </is>
      </c>
      <c r="AG262" s="2" t="inlineStr">
        <is>
          <t>High</t>
        </is>
      </c>
      <c r="AH262" s="2" t="inlineStr">
        <is>
          <t>Medium</t>
        </is>
      </c>
      <c r="AI262" s="2" t="inlineStr"/>
      <c r="AJ262" t="inlineStr">
        <is>
          <t>https://www.si.edu/collection/search?edan_q=Chu+Silk+Manuscript+cosmology</t>
        </is>
      </c>
      <c r="AK262" t="inlineStr">
        <is>
          <t>https://archive.org/search?query=Chu+Silk+Manuscript+cosmology</t>
        </is>
      </c>
      <c r="AL262" t="inlineStr">
        <is>
          <t>https://www.si.edu/collection/search?edan_q=Chu+Silk+Manuscript+cosmology</t>
        </is>
      </c>
      <c r="AM262" t="inlineStr">
        <is>
          <t>https://whc.unesco.org/en/search/?searchterm=Chu+Silk+Manuscript+cosmology</t>
        </is>
      </c>
      <c r="AN262" t="inlineStr">
        <is>
          <t>https://whc.unesco.org/en/search/?searchterm=Chu+Silk+Manuscript+cosmology</t>
        </is>
      </c>
      <c r="AO262" t="inlineStr">
        <is>
          <t>1) Fact base: Smithsonian Open Access. 2) Translation/text: Internet Archive. 3) Images/objects: Smithsonian Open Access. 4) Context/explanation: UNESCO. 5) Geography/maps: UNESCO. Use Suggested_Search_Term inside each portal.</t>
        </is>
      </c>
      <c r="AP262" t="inlineStr">
        <is>
          <t>Mixed: direct portal homepages plus search-result URLs where the portal exposes a public search endpoint.</t>
        </is>
      </c>
    </row>
    <row r="263">
      <c r="A263" s="2" t="n">
        <v>262</v>
      </c>
      <c r="B263" s="7" t="inlineStr">
        <is>
          <t>BCE_to_1AD</t>
        </is>
      </c>
      <c r="C263" s="2" t="inlineStr">
        <is>
          <t>China</t>
        </is>
      </c>
      <c r="D263" s="2" t="inlineStr">
        <is>
          <t>Bronze Age Sichuan</t>
        </is>
      </c>
      <c r="E263" s="2" t="n">
        <v>-1200</v>
      </c>
      <c r="F263" s="2" t="n">
        <v>-1000</v>
      </c>
      <c r="G263" s="2" t="inlineStr">
        <is>
          <t>Late 2nd millennium BCE</t>
        </is>
      </c>
      <c r="H263" s="2" t="inlineStr">
        <is>
          <t>Sanxingdui bronzes and masks</t>
        </is>
      </c>
      <c r="I263" s="2" t="inlineStr">
        <is>
          <t>Artifact corpus</t>
        </is>
      </c>
      <c r="J263" s="2" t="inlineStr">
        <is>
          <t>bronzes + jades</t>
        </is>
      </c>
      <c r="K263" s="2" t="inlineStr">
        <is>
          <t>ritual imagery</t>
        </is>
      </c>
      <c r="L263" s="2" t="inlineStr">
        <is>
          <t>regional religion</t>
        </is>
      </c>
      <c r="M263" s="2" t="inlineStr">
        <is>
          <t>China</t>
        </is>
      </c>
      <c r="N263" s="2" t="inlineStr">
        <is>
          <t>Sichuan</t>
        </is>
      </c>
      <c r="O263" s="2" t="inlineStr">
        <is>
          <t>Ritual bronzes, masks, and figures from a regional Bronze Age culture distinct from Shang centers.</t>
        </is>
      </c>
      <c r="P263" s="2" t="inlineStr">
        <is>
          <t>Often cited as evidence of forgotten advanced cultures; archaeological context is the key corrective.</t>
        </is>
      </c>
      <c r="Q263" s="2" t="inlineStr">
        <is>
          <t>High</t>
        </is>
      </c>
      <c r="R263" s="2" t="inlineStr">
        <is>
          <t>No</t>
        </is>
      </c>
      <c r="S263" s="2" t="inlineStr">
        <is>
          <t>Yes</t>
        </is>
      </c>
      <c r="T263" s="2" t="inlineStr">
        <is>
          <t>Smithsonian Open Access</t>
        </is>
      </c>
      <c r="U263" s="8" t="inlineStr">
        <is>
          <t>https://www.si.edu/openaccess</t>
        </is>
      </c>
      <c r="V263" s="2" t="inlineStr">
        <is>
          <t>UNESCO</t>
        </is>
      </c>
      <c r="W263" s="8" t="inlineStr">
        <is>
          <t>https://whc.unesco.org/</t>
        </is>
      </c>
      <c r="X263" s="2" t="inlineStr">
        <is>
          <t>Smithsonian Open Access</t>
        </is>
      </c>
      <c r="Y263" s="8" t="inlineStr">
        <is>
          <t>https://www.si.edu/openaccess</t>
        </is>
      </c>
      <c r="Z263" s="2" t="inlineStr">
        <is>
          <t>UNESCO</t>
        </is>
      </c>
      <c r="AA263" s="8" t="inlineStr">
        <is>
          <t>https://whc.unesco.org/</t>
        </is>
      </c>
      <c r="AB263" s="2" t="inlineStr">
        <is>
          <t>UNESCO</t>
        </is>
      </c>
      <c r="AC263" s="8" t="inlineStr">
        <is>
          <t>https://whc.unesco.org/</t>
        </is>
      </c>
      <c r="AD263" s="2" t="inlineStr">
        <is>
          <t>Sanxingdui masks archaeology</t>
        </is>
      </c>
      <c r="AE263" s="2" t="inlineStr">
        <is>
          <t>No deciphered text attached; rely on finds, context, and excavation history.</t>
        </is>
      </c>
      <c r="AF263" s="2" t="inlineStr">
        <is>
          <t>Regional ritual systems; lost civilization rhetoric</t>
        </is>
      </c>
      <c r="AG263" s="2" t="inlineStr">
        <is>
          <t>Critical</t>
        </is>
      </c>
      <c r="AH263" s="2" t="inlineStr">
        <is>
          <t>High</t>
        </is>
      </c>
      <c r="AI263" s="2" t="inlineStr"/>
      <c r="AJ263" t="inlineStr">
        <is>
          <t>https://www.si.edu/collection/search?edan_q=Sanxingdui+masks+archaeology</t>
        </is>
      </c>
      <c r="AK263" t="inlineStr">
        <is>
          <t>https://whc.unesco.org/en/search/?searchterm=Sanxingdui+masks+archaeology</t>
        </is>
      </c>
      <c r="AL263" t="inlineStr">
        <is>
          <t>https://www.si.edu/collection/search?edan_q=Sanxingdui+masks+archaeology</t>
        </is>
      </c>
      <c r="AM263" t="inlineStr">
        <is>
          <t>https://whc.unesco.org/en/search/?searchterm=Sanxingdui+masks+archaeology</t>
        </is>
      </c>
      <c r="AN263" t="inlineStr">
        <is>
          <t>https://whc.unesco.org/en/search/?searchterm=Sanxingdui+masks+archaeology</t>
        </is>
      </c>
      <c r="AO263" t="inlineStr">
        <is>
          <t>1) Fact base: Smithsonian Open Access. 2) Translation/text: UNESCO. 3) Images/objects: Smithsonian Open Access. 4) Context/explanation: UNESCO. 5) Geography/maps: UNESCO. Use Suggested_Search_Term inside each portal.</t>
        </is>
      </c>
      <c r="AP263" t="inlineStr">
        <is>
          <t>Mixed: direct portal homepages plus search-result URLs where the portal exposes a public search endpoint.</t>
        </is>
      </c>
    </row>
    <row r="264">
      <c r="A264" s="2" t="n">
        <v>263</v>
      </c>
      <c r="B264" s="7" t="inlineStr">
        <is>
          <t>BCE_to_1AD</t>
        </is>
      </c>
      <c r="C264" s="2" t="inlineStr">
        <is>
          <t>Aegean / Greece / Italy</t>
        </is>
      </c>
      <c r="D264" s="2" t="inlineStr">
        <is>
          <t>Archaic Greece</t>
        </is>
      </c>
      <c r="E264" s="2" t="n">
        <v>-700</v>
      </c>
      <c r="F264" s="2" t="n">
        <v>-650</v>
      </c>
      <c r="G264" s="2" t="inlineStr">
        <is>
          <t>Archaic Greece</t>
        </is>
      </c>
      <c r="H264" s="2" t="inlineStr">
        <is>
          <t>Hesiod Theogony</t>
        </is>
      </c>
      <c r="I264" s="2" t="inlineStr">
        <is>
          <t>Text tradition</t>
        </is>
      </c>
      <c r="J264" s="2" t="inlineStr">
        <is>
          <t>oral poetry later manuscripts</t>
        </is>
      </c>
      <c r="K264" s="2" t="inlineStr">
        <is>
          <t>creation</t>
        </is>
      </c>
      <c r="L264" s="2" t="inlineStr">
        <is>
          <t>genealogy of gods</t>
        </is>
      </c>
      <c r="M264" s="2" t="inlineStr">
        <is>
          <t>Greece</t>
        </is>
      </c>
      <c r="N264" s="2" t="inlineStr">
        <is>
          <t>Greece</t>
        </is>
      </c>
      <c r="O264" s="2" t="inlineStr">
        <is>
          <t>Poetic genealogy of gods and cosmic succession from Chaos onward.</t>
        </is>
      </c>
      <c r="P264" s="2" t="inlineStr">
        <is>
          <t>Essential Greek creation source and major comparator for divine succession.</t>
        </is>
      </c>
      <c r="Q264" s="2" t="inlineStr">
        <is>
          <t>High</t>
        </is>
      </c>
      <c r="R264" s="2" t="inlineStr">
        <is>
          <t>Yes</t>
        </is>
      </c>
      <c r="S264" s="2" t="inlineStr">
        <is>
          <t>Low</t>
        </is>
      </c>
      <c r="T264" s="2" t="inlineStr">
        <is>
          <t>Perseus</t>
        </is>
      </c>
      <c r="U264" s="8" t="inlineStr">
        <is>
          <t>https://www.perseus.tufts.edu/hopper/</t>
        </is>
      </c>
      <c r="V264" s="2" t="inlineStr">
        <is>
          <t>Perseus</t>
        </is>
      </c>
      <c r="W264" s="8" t="inlineStr">
        <is>
          <t>https://www.perseus.tufts.edu/hopper/</t>
        </is>
      </c>
      <c r="X264" s="2" t="inlineStr">
        <is>
          <t>British Museum Collection</t>
        </is>
      </c>
      <c r="Y264" s="8" t="inlineStr">
        <is>
          <t>https://www.britishmuseum.org/collection</t>
        </is>
      </c>
      <c r="Z264" s="2" t="inlineStr">
        <is>
          <t>UNESCO</t>
        </is>
      </c>
      <c r="AA264" s="8" t="inlineStr">
        <is>
          <t>https://whc.unesco.org/</t>
        </is>
      </c>
      <c r="AB264" s="2" t="inlineStr">
        <is>
          <t>Pleiades</t>
        </is>
      </c>
      <c r="AC264" s="8" t="inlineStr">
        <is>
          <t>https://pleiades.stoa.org/</t>
        </is>
      </c>
      <c r="AD264" s="2" t="inlineStr">
        <is>
          <t>Hesiod Theogony Perseus</t>
        </is>
      </c>
      <c r="AE264" s="2" t="inlineStr">
        <is>
          <t>Poetic text from oral tradition; distinguish mythic structure from chronology.</t>
        </is>
      </c>
      <c r="AF264" s="2" t="inlineStr">
        <is>
          <t>Enuma Elish; Baal Cycle; Vedic theogony</t>
        </is>
      </c>
      <c r="AG264" s="2" t="inlineStr">
        <is>
          <t>Critical</t>
        </is>
      </c>
      <c r="AH264" s="2" t="inlineStr">
        <is>
          <t>High</t>
        </is>
      </c>
      <c r="AI264" s="2" t="inlineStr"/>
      <c r="AJ264" t="inlineStr">
        <is>
          <t>https://www.perseus.tufts.edu/hopper/</t>
        </is>
      </c>
      <c r="AK264" t="inlineStr">
        <is>
          <t>https://www.perseus.tufts.edu/hopper/</t>
        </is>
      </c>
      <c r="AL264" t="inlineStr">
        <is>
          <t>https://www.britishmuseum.org/collection/search?keyword=Hesiod+Theogony+Perseus</t>
        </is>
      </c>
      <c r="AM264" t="inlineStr">
        <is>
          <t>https://whc.unesco.org/en/search/?searchterm=Hesiod+Theogony+Perseus</t>
        </is>
      </c>
      <c r="AN264" t="inlineStr">
        <is>
          <t>https://pleiades.stoa.org/search?SearchableText=Hesiod+Theogony+Perseus</t>
        </is>
      </c>
      <c r="AO264" t="inlineStr">
        <is>
          <t>1) Fact base: Perseus. 2) Translation/text: Perseus. 3) Images/objects: British Museum Collection. 4) Context/explanation: UNESCO. 5) Geography/maps: Pleiades. Use Suggested_Search_Term inside each portal.</t>
        </is>
      </c>
      <c r="AP264" t="inlineStr">
        <is>
          <t>Mixed: direct portal homepages plus search-result URLs where the portal exposes a public search endpoint.</t>
        </is>
      </c>
    </row>
    <row r="265">
      <c r="A265" s="2" t="n">
        <v>264</v>
      </c>
      <c r="B265" s="7" t="inlineStr">
        <is>
          <t>BCE_to_1AD</t>
        </is>
      </c>
      <c r="C265" s="2" t="inlineStr">
        <is>
          <t>Aegean / Greece / Italy</t>
        </is>
      </c>
      <c r="D265" s="2" t="inlineStr">
        <is>
          <t>Archaic Greece</t>
        </is>
      </c>
      <c r="E265" s="2" t="n">
        <v>-700</v>
      </c>
      <c r="F265" s="2" t="n">
        <v>-650</v>
      </c>
      <c r="G265" s="2" t="inlineStr">
        <is>
          <t>Archaic Greece</t>
        </is>
      </c>
      <c r="H265" s="2" t="inlineStr">
        <is>
          <t>Hesiod Works and Days (Ages of Man)</t>
        </is>
      </c>
      <c r="I265" s="2" t="inlineStr">
        <is>
          <t>Text tradition</t>
        </is>
      </c>
      <c r="J265" s="2" t="inlineStr">
        <is>
          <t>oral poetry later manuscripts</t>
        </is>
      </c>
      <c r="K265" s="2" t="inlineStr">
        <is>
          <t>world ages</t>
        </is>
      </c>
      <c r="L265" s="2" t="inlineStr">
        <is>
          <t>moral decline</t>
        </is>
      </c>
      <c r="M265" s="2" t="inlineStr">
        <is>
          <t>Greece</t>
        </is>
      </c>
      <c r="N265" s="2" t="inlineStr">
        <is>
          <t>Greece</t>
        </is>
      </c>
      <c r="O265" s="2" t="inlineStr">
        <is>
          <t>Didactic poem including myth of successive ages and divine justice.</t>
        </is>
      </c>
      <c r="P265" s="2" t="inlineStr">
        <is>
          <t>Key control text for degeneration cycles and post-golden-age memory.</t>
        </is>
      </c>
      <c r="Q265" s="2" t="inlineStr">
        <is>
          <t>High</t>
        </is>
      </c>
      <c r="R265" s="2" t="inlineStr">
        <is>
          <t>Yes</t>
        </is>
      </c>
      <c r="S265" s="2" t="inlineStr">
        <is>
          <t>Low</t>
        </is>
      </c>
      <c r="T265" s="2" t="inlineStr">
        <is>
          <t>Perseus</t>
        </is>
      </c>
      <c r="U265" s="8" t="inlineStr">
        <is>
          <t>https://www.perseus.tufts.edu/hopper/</t>
        </is>
      </c>
      <c r="V265" s="2" t="inlineStr">
        <is>
          <t>Perseus</t>
        </is>
      </c>
      <c r="W265" s="8" t="inlineStr">
        <is>
          <t>https://www.perseus.tufts.edu/hopper/</t>
        </is>
      </c>
      <c r="X265" s="2" t="inlineStr">
        <is>
          <t>British Museum Collection</t>
        </is>
      </c>
      <c r="Y265" s="8" t="inlineStr">
        <is>
          <t>https://www.britishmuseum.org/collection</t>
        </is>
      </c>
      <c r="Z265" s="2" t="inlineStr">
        <is>
          <t>UNESCO</t>
        </is>
      </c>
      <c r="AA265" s="8" t="inlineStr">
        <is>
          <t>https://whc.unesco.org/</t>
        </is>
      </c>
      <c r="AB265" s="2" t="inlineStr">
        <is>
          <t>Pleiades</t>
        </is>
      </c>
      <c r="AC265" s="8" t="inlineStr">
        <is>
          <t>https://pleiades.stoa.org/</t>
        </is>
      </c>
      <c r="AD265" s="2" t="inlineStr">
        <is>
          <t>Works and Days ages of man</t>
        </is>
      </c>
      <c r="AE265" s="2" t="inlineStr">
        <is>
          <t>Not a flood text, but very important for decline models.</t>
        </is>
      </c>
      <c r="AF265" s="2" t="inlineStr">
        <is>
          <t>Yugas; Zoroastrian ages</t>
        </is>
      </c>
      <c r="AG265" s="2" t="inlineStr">
        <is>
          <t>Critical</t>
        </is>
      </c>
      <c r="AH265" s="2" t="inlineStr">
        <is>
          <t>High</t>
        </is>
      </c>
      <c r="AI265" s="2" t="inlineStr"/>
      <c r="AJ265" t="inlineStr">
        <is>
          <t>https://www.perseus.tufts.edu/hopper/</t>
        </is>
      </c>
      <c r="AK265" t="inlineStr">
        <is>
          <t>https://www.perseus.tufts.edu/hopper/</t>
        </is>
      </c>
      <c r="AL265" t="inlineStr">
        <is>
          <t>https://www.britishmuseum.org/collection/search?keyword=Works+and+Days+ages+of+man</t>
        </is>
      </c>
      <c r="AM265" t="inlineStr">
        <is>
          <t>https://whc.unesco.org/en/search/?searchterm=Works+and+Days+ages+of+man</t>
        </is>
      </c>
      <c r="AN265" t="inlineStr">
        <is>
          <t>https://pleiades.stoa.org/search?SearchableText=Works+and+Days+ages+of+man</t>
        </is>
      </c>
      <c r="AO265" t="inlineStr">
        <is>
          <t>1) Fact base: Perseus. 2) Translation/text: Perseus. 3) Images/objects: British Museum Collection. 4) Context/explanation: UNESCO. 5) Geography/maps: Pleiades. Use Suggested_Search_Term inside each portal.</t>
        </is>
      </c>
      <c r="AP265" t="inlineStr">
        <is>
          <t>Mixed: direct portal homepages plus search-result URLs where the portal exposes a public search endpoint.</t>
        </is>
      </c>
    </row>
    <row r="266">
      <c r="A266" s="2" t="n">
        <v>265</v>
      </c>
      <c r="B266" s="7" t="inlineStr">
        <is>
          <t>BCE_to_1AD</t>
        </is>
      </c>
      <c r="C266" s="2" t="inlineStr">
        <is>
          <t>Aegean / Greece / Italy</t>
        </is>
      </c>
      <c r="D266" s="2" t="inlineStr">
        <is>
          <t>Classical Greece</t>
        </is>
      </c>
      <c r="E266" s="2" t="n">
        <v>-360</v>
      </c>
      <c r="F266" s="2" t="n">
        <v>-347</v>
      </c>
      <c r="G266" s="2" t="inlineStr">
        <is>
          <t>4th c BCE</t>
        </is>
      </c>
      <c r="H266" s="2" t="inlineStr">
        <is>
          <t>Timaeus</t>
        </is>
      </c>
      <c r="I266" s="2" t="inlineStr">
        <is>
          <t>Text</t>
        </is>
      </c>
      <c r="J266" s="2" t="inlineStr">
        <is>
          <t>philosophical dialogue</t>
        </is>
      </c>
      <c r="K266" s="2" t="inlineStr">
        <is>
          <t>Atlantis</t>
        </is>
      </c>
      <c r="L266" s="2" t="inlineStr">
        <is>
          <t>cosmology</t>
        </is>
      </c>
      <c r="M266" s="2" t="inlineStr">
        <is>
          <t>Greece</t>
        </is>
      </c>
      <c r="N266" s="2" t="inlineStr">
        <is>
          <t>Athens / fictional Atlantic setting</t>
        </is>
      </c>
      <c r="O266" s="2" t="inlineStr">
        <is>
          <t>Plato’s dialogue containing Egyptian framing and Atlantis material.</t>
        </is>
      </c>
      <c r="P266" s="2" t="inlineStr">
        <is>
          <t>Must be read directly before any Atlantis theorizing.</t>
        </is>
      </c>
      <c r="Q266" s="2" t="inlineStr">
        <is>
          <t>High</t>
        </is>
      </c>
      <c r="R266" s="2" t="inlineStr">
        <is>
          <t>Yes</t>
        </is>
      </c>
      <c r="S266" s="2" t="inlineStr">
        <is>
          <t>Low</t>
        </is>
      </c>
      <c r="T266" s="2" t="inlineStr">
        <is>
          <t>Perseus</t>
        </is>
      </c>
      <c r="U266" s="8" t="inlineStr">
        <is>
          <t>https://www.perseus.tufts.edu/hopper/</t>
        </is>
      </c>
      <c r="V266" s="2" t="inlineStr">
        <is>
          <t>Perseus</t>
        </is>
      </c>
      <c r="W266" s="8" t="inlineStr">
        <is>
          <t>https://www.perseus.tufts.edu/hopper/</t>
        </is>
      </c>
      <c r="X266" s="2" t="inlineStr">
        <is>
          <t>British Museum Collection</t>
        </is>
      </c>
      <c r="Y266" s="8" t="inlineStr">
        <is>
          <t>https://www.britishmuseum.org/collection</t>
        </is>
      </c>
      <c r="Z266" s="2" t="inlineStr">
        <is>
          <t>UNESCO</t>
        </is>
      </c>
      <c r="AA266" s="8" t="inlineStr">
        <is>
          <t>https://whc.unesco.org/</t>
        </is>
      </c>
      <c r="AB266" s="2" t="inlineStr">
        <is>
          <t>Pleiades</t>
        </is>
      </c>
      <c r="AC266" s="8" t="inlineStr">
        <is>
          <t>https://pleiades.stoa.org/</t>
        </is>
      </c>
      <c r="AD266" s="2" t="inlineStr">
        <is>
          <t>Plato Timaeus Atlantis Perseus</t>
        </is>
      </c>
      <c r="AE266" s="2" t="inlineStr">
        <is>
          <t>Philosophical dialogue with literary construction; do not use summaries only.</t>
        </is>
      </c>
      <c r="AF266" s="2" t="inlineStr">
        <is>
          <t>Atlantis; Egyptian memory claims</t>
        </is>
      </c>
      <c r="AG266" s="2" t="inlineStr">
        <is>
          <t>Critical</t>
        </is>
      </c>
      <c r="AH266" s="2" t="inlineStr">
        <is>
          <t>High</t>
        </is>
      </c>
      <c r="AI266" s="2" t="inlineStr"/>
      <c r="AJ266" t="inlineStr">
        <is>
          <t>https://www.perseus.tufts.edu/hopper/</t>
        </is>
      </c>
      <c r="AK266" t="inlineStr">
        <is>
          <t>https://www.perseus.tufts.edu/hopper/</t>
        </is>
      </c>
      <c r="AL266" t="inlineStr">
        <is>
          <t>https://www.britishmuseum.org/collection/search?keyword=Plato+Timaeus+Atlantis+Perseus</t>
        </is>
      </c>
      <c r="AM266" t="inlineStr">
        <is>
          <t>https://whc.unesco.org/en/search/?searchterm=Plato+Timaeus+Atlantis+Perseus</t>
        </is>
      </c>
      <c r="AN266" t="inlineStr">
        <is>
          <t>https://pleiades.stoa.org/search?SearchableText=Plato+Timaeus+Atlantis+Perseus</t>
        </is>
      </c>
      <c r="AO266" t="inlineStr">
        <is>
          <t>1) Fact base: Perseus. 2) Translation/text: Perseus. 3) Images/objects: British Museum Collection. 4) Context/explanation: UNESCO. 5) Geography/maps: Pleiades. Use Suggested_Search_Term inside each portal.</t>
        </is>
      </c>
      <c r="AP266" t="inlineStr">
        <is>
          <t>Mixed: direct portal homepages plus search-result URLs where the portal exposes a public search endpoint.</t>
        </is>
      </c>
    </row>
    <row r="267">
      <c r="A267" s="2" t="n">
        <v>266</v>
      </c>
      <c r="B267" s="7" t="inlineStr">
        <is>
          <t>BCE_to_1AD</t>
        </is>
      </c>
      <c r="C267" s="2" t="inlineStr">
        <is>
          <t>Aegean / Greece / Italy</t>
        </is>
      </c>
      <c r="D267" s="2" t="inlineStr">
        <is>
          <t>Classical Greece</t>
        </is>
      </c>
      <c r="E267" s="2" t="n">
        <v>-360</v>
      </c>
      <c r="F267" s="2" t="n">
        <v>-347</v>
      </c>
      <c r="G267" s="2" t="inlineStr">
        <is>
          <t>4th c BCE</t>
        </is>
      </c>
      <c r="H267" s="2" t="inlineStr">
        <is>
          <t>Critias</t>
        </is>
      </c>
      <c r="I267" s="2" t="inlineStr">
        <is>
          <t>Text</t>
        </is>
      </c>
      <c r="J267" s="2" t="inlineStr">
        <is>
          <t>philosophical dialogue</t>
        </is>
      </c>
      <c r="K267" s="2" t="inlineStr">
        <is>
          <t>Atlantis</t>
        </is>
      </c>
      <c r="L267" s="2" t="inlineStr">
        <is>
          <t>ideal state vs decline</t>
        </is>
      </c>
      <c r="M267" s="2" t="inlineStr">
        <is>
          <t>Greece</t>
        </is>
      </c>
      <c r="N267" s="2" t="inlineStr">
        <is>
          <t>Athens / Atlantis</t>
        </is>
      </c>
      <c r="O267" s="2" t="inlineStr">
        <is>
          <t>Companion dialogue elaborating Atlantis narrative and war with ancient Athens.</t>
        </is>
      </c>
      <c r="P267" s="2" t="inlineStr">
        <is>
          <t>Direct source text for Atlantis claims in all later discourse.</t>
        </is>
      </c>
      <c r="Q267" s="2" t="inlineStr">
        <is>
          <t>High</t>
        </is>
      </c>
      <c r="R267" s="2" t="inlineStr">
        <is>
          <t>Yes</t>
        </is>
      </c>
      <c r="S267" s="2" t="inlineStr">
        <is>
          <t>Low</t>
        </is>
      </c>
      <c r="T267" s="2" t="inlineStr">
        <is>
          <t>Perseus</t>
        </is>
      </c>
      <c r="U267" s="8" t="inlineStr">
        <is>
          <t>https://www.perseus.tufts.edu/hopper/</t>
        </is>
      </c>
      <c r="V267" s="2" t="inlineStr">
        <is>
          <t>Perseus</t>
        </is>
      </c>
      <c r="W267" s="8" t="inlineStr">
        <is>
          <t>https://www.perseus.tufts.edu/hopper/</t>
        </is>
      </c>
      <c r="X267" s="2" t="inlineStr">
        <is>
          <t>British Museum Collection</t>
        </is>
      </c>
      <c r="Y267" s="8" t="inlineStr">
        <is>
          <t>https://www.britishmuseum.org/collection</t>
        </is>
      </c>
      <c r="Z267" s="2" t="inlineStr">
        <is>
          <t>UNESCO</t>
        </is>
      </c>
      <c r="AA267" s="8" t="inlineStr">
        <is>
          <t>https://whc.unesco.org/</t>
        </is>
      </c>
      <c r="AB267" s="2" t="inlineStr">
        <is>
          <t>Pleiades</t>
        </is>
      </c>
      <c r="AC267" s="8" t="inlineStr">
        <is>
          <t>https://pleiades.stoa.org/</t>
        </is>
      </c>
      <c r="AD267" s="2" t="inlineStr">
        <is>
          <t>Plato Critias Atlantis Perseus</t>
        </is>
      </c>
      <c r="AE267" s="2" t="inlineStr">
        <is>
          <t>Incomplete dialogue; use in tandem with Timaeus.</t>
        </is>
      </c>
      <c r="AF267" s="2" t="inlineStr">
        <is>
          <t>Atlantis; golden-age memory</t>
        </is>
      </c>
      <c r="AG267" s="2" t="inlineStr">
        <is>
          <t>Critical</t>
        </is>
      </c>
      <c r="AH267" s="2" t="inlineStr">
        <is>
          <t>High</t>
        </is>
      </c>
      <c r="AI267" s="2" t="inlineStr"/>
      <c r="AJ267" t="inlineStr">
        <is>
          <t>https://www.perseus.tufts.edu/hopper/</t>
        </is>
      </c>
      <c r="AK267" t="inlineStr">
        <is>
          <t>https://www.perseus.tufts.edu/hopper/</t>
        </is>
      </c>
      <c r="AL267" t="inlineStr">
        <is>
          <t>https://www.britishmuseum.org/collection/search?keyword=Plato+Critias+Atlantis+Perseus</t>
        </is>
      </c>
      <c r="AM267" t="inlineStr">
        <is>
          <t>https://whc.unesco.org/en/search/?searchterm=Plato+Critias+Atlantis+Perseus</t>
        </is>
      </c>
      <c r="AN267" t="inlineStr">
        <is>
          <t>https://pleiades.stoa.org/search?SearchableText=Plato+Critias+Atlantis+Perseus</t>
        </is>
      </c>
      <c r="AO267" t="inlineStr">
        <is>
          <t>1) Fact base: Perseus. 2) Translation/text: Perseus. 3) Images/objects: British Museum Collection. 4) Context/explanation: UNESCO. 5) Geography/maps: Pleiades. Use Suggested_Search_Term inside each portal.</t>
        </is>
      </c>
      <c r="AP267" t="inlineStr">
        <is>
          <t>Mixed: direct portal homepages plus search-result URLs where the portal exposes a public search endpoint.</t>
        </is>
      </c>
    </row>
    <row r="268">
      <c r="A268" s="2" t="n">
        <v>267</v>
      </c>
      <c r="B268" s="7" t="inlineStr">
        <is>
          <t>BCE_to_1AD</t>
        </is>
      </c>
      <c r="C268" s="2" t="inlineStr">
        <is>
          <t>Aegean / Greece / Italy</t>
        </is>
      </c>
      <c r="D268" s="2" t="inlineStr">
        <is>
          <t>Mycenaean Greece</t>
        </is>
      </c>
      <c r="E268" s="2" t="n">
        <v>-1450</v>
      </c>
      <c r="F268" s="2" t="n">
        <v>-1200</v>
      </c>
      <c r="G268" s="2" t="inlineStr">
        <is>
          <t>Late Bronze Age</t>
        </is>
      </c>
      <c r="H268" s="2" t="inlineStr">
        <is>
          <t>Linear B tablets</t>
        </is>
      </c>
      <c r="I268" s="2" t="inlineStr">
        <is>
          <t>Tablet corpus</t>
        </is>
      </c>
      <c r="J268" s="2" t="inlineStr">
        <is>
          <t>clay tablets</t>
        </is>
      </c>
      <c r="K268" s="2" t="inlineStr">
        <is>
          <t>administration + religion</t>
        </is>
      </c>
      <c r="L268" s="2" t="inlineStr">
        <is>
          <t>offerings</t>
        </is>
      </c>
      <c r="M268" s="2" t="inlineStr">
        <is>
          <t>Greece</t>
        </is>
      </c>
      <c r="N268" s="2" t="inlineStr">
        <is>
          <t>Mycenaean palatial centers</t>
        </is>
      </c>
      <c r="O268" s="2" t="inlineStr">
        <is>
          <t>Administrative tablets preserving divine names, offerings, and palace economy.</t>
        </is>
      </c>
      <c r="P268" s="2" t="inlineStr">
        <is>
          <t>Direct evidence for Bronze Age Greek religion before classical mythic formulations.</t>
        </is>
      </c>
      <c r="Q268" s="2" t="inlineStr">
        <is>
          <t>Medium</t>
        </is>
      </c>
      <c r="R268" s="2" t="inlineStr">
        <is>
          <t>Yes</t>
        </is>
      </c>
      <c r="S268" s="2" t="inlineStr">
        <is>
          <t>Low</t>
        </is>
      </c>
      <c r="T268" s="2" t="inlineStr">
        <is>
          <t>Internet Archive</t>
        </is>
      </c>
      <c r="U268" s="8" t="inlineStr">
        <is>
          <t>https://archive.org/</t>
        </is>
      </c>
      <c r="V268" s="2" t="inlineStr">
        <is>
          <t>Internet Archive</t>
        </is>
      </c>
      <c r="W268" s="8" t="inlineStr">
        <is>
          <t>https://archive.org/</t>
        </is>
      </c>
      <c r="X268" s="2" t="inlineStr">
        <is>
          <t>British Museum Collection</t>
        </is>
      </c>
      <c r="Y268" s="8" t="inlineStr">
        <is>
          <t>https://www.britishmuseum.org/collection</t>
        </is>
      </c>
      <c r="Z268" s="2" t="inlineStr">
        <is>
          <t>UNESCO</t>
        </is>
      </c>
      <c r="AA268" s="8" t="inlineStr">
        <is>
          <t>https://whc.unesco.org/</t>
        </is>
      </c>
      <c r="AB268" s="2" t="inlineStr">
        <is>
          <t>Pleiades</t>
        </is>
      </c>
      <c r="AC268" s="8" t="inlineStr">
        <is>
          <t>https://pleiades.stoa.org/</t>
        </is>
      </c>
      <c r="AD268" s="2" t="inlineStr">
        <is>
          <t>Linear B divine names offerings</t>
        </is>
      </c>
      <c r="AE268" s="2" t="inlineStr">
        <is>
          <t>Administrative rather than narrative text.</t>
        </is>
      </c>
      <c r="AF268" s="2" t="inlineStr">
        <is>
          <t>Palace religion; continuity into later Greek gods</t>
        </is>
      </c>
      <c r="AG268" s="2" t="inlineStr">
        <is>
          <t>Critical</t>
        </is>
      </c>
      <c r="AH268" s="2" t="inlineStr">
        <is>
          <t>Medium</t>
        </is>
      </c>
      <c r="AI268" s="2" t="inlineStr"/>
      <c r="AJ268" t="inlineStr">
        <is>
          <t>https://archive.org/search?query=Linear+B+divine+names+offerings</t>
        </is>
      </c>
      <c r="AK268" t="inlineStr">
        <is>
          <t>https://archive.org/search?query=Linear+B+divine+names+offerings</t>
        </is>
      </c>
      <c r="AL268" t="inlineStr">
        <is>
          <t>https://www.britishmuseum.org/collection/search?keyword=Linear+B+divine+names+offerings</t>
        </is>
      </c>
      <c r="AM268" t="inlineStr">
        <is>
          <t>https://whc.unesco.org/en/search/?searchterm=Linear+B+divine+names+offerings</t>
        </is>
      </c>
      <c r="AN268" t="inlineStr">
        <is>
          <t>https://pleiades.stoa.org/search?SearchableText=Linear+B+divine+names+offerings</t>
        </is>
      </c>
      <c r="AO268" t="inlineStr">
        <is>
          <t>1) Fact base: Internet Archive. 2) Translation/text: Internet Archive. 3) Images/objects: British Museum Collection. 4) Context/explanation: UNESCO. 5) Geography/maps: Pleiades. Use Suggested_Search_Term inside each portal.</t>
        </is>
      </c>
      <c r="AP268" t="inlineStr">
        <is>
          <t>Mixed: direct portal homepages plus search-result URLs where the portal exposes a public search endpoint.</t>
        </is>
      </c>
    </row>
    <row r="269">
      <c r="A269" s="2" t="n">
        <v>268</v>
      </c>
      <c r="B269" s="7" t="inlineStr">
        <is>
          <t>BCE_to_1AD</t>
        </is>
      </c>
      <c r="C269" s="2" t="inlineStr">
        <is>
          <t>Mesoamerica</t>
        </is>
      </c>
      <c r="D269" s="2" t="inlineStr">
        <is>
          <t>Olmec</t>
        </is>
      </c>
      <c r="E269" s="2" t="n">
        <v>-1400</v>
      </c>
      <c r="F269" s="2" t="n">
        <v>-400</v>
      </c>
      <c r="G269" s="2" t="inlineStr">
        <is>
          <t>Formative period</t>
        </is>
      </c>
      <c r="H269" s="2" t="inlineStr">
        <is>
          <t>La Venta Monument 19 / feathered-serpent iconography</t>
        </is>
      </c>
      <c r="I269" s="2" t="inlineStr">
        <is>
          <t>Artifact</t>
        </is>
      </c>
      <c r="J269" s="2" t="inlineStr">
        <is>
          <t>stone monument</t>
        </is>
      </c>
      <c r="K269" s="2" t="inlineStr">
        <is>
          <t>serpent symbolism</t>
        </is>
      </c>
      <c r="L269" s="2" t="inlineStr">
        <is>
          <t>rulership / ritual</t>
        </is>
      </c>
      <c r="M269" s="2" t="inlineStr">
        <is>
          <t>Mexico</t>
        </is>
      </c>
      <c r="N269" s="2" t="inlineStr">
        <is>
          <t>La Venta</t>
        </is>
      </c>
      <c r="O269" s="2" t="inlineStr">
        <is>
          <t>Olmec monument often cited in early feathered-serpent discussions.</t>
        </is>
      </c>
      <c r="P269" s="2" t="inlineStr">
        <is>
          <t>Important because later Quetzalcoatl retrojections often lean on early iconography.</t>
        </is>
      </c>
      <c r="Q269" s="2" t="inlineStr">
        <is>
          <t>High</t>
        </is>
      </c>
      <c r="R269" s="2" t="inlineStr">
        <is>
          <t>No</t>
        </is>
      </c>
      <c r="S269" s="2" t="inlineStr">
        <is>
          <t>Yes</t>
        </is>
      </c>
      <c r="T269" s="2" t="inlineStr">
        <is>
          <t>INAH</t>
        </is>
      </c>
      <c r="U269" s="8" t="inlineStr">
        <is>
          <t>https://www.inah.gob.mx/</t>
        </is>
      </c>
      <c r="V269" s="2" t="inlineStr">
        <is>
          <t>FAMSI</t>
        </is>
      </c>
      <c r="W269" s="8" t="inlineStr">
        <is>
          <t>https://www.famsi.org/</t>
        </is>
      </c>
      <c r="X269" s="2" t="inlineStr">
        <is>
          <t>INAH</t>
        </is>
      </c>
      <c r="Y269" s="8" t="inlineStr">
        <is>
          <t>https://www.inah.gob.mx/</t>
        </is>
      </c>
      <c r="Z269" s="2" t="inlineStr">
        <is>
          <t>UNESCO</t>
        </is>
      </c>
      <c r="AA269" s="8" t="inlineStr">
        <is>
          <t>https://whc.unesco.org/</t>
        </is>
      </c>
      <c r="AB269" s="2" t="inlineStr">
        <is>
          <t>UNESCO</t>
        </is>
      </c>
      <c r="AC269" s="8" t="inlineStr">
        <is>
          <t>https://whc.unesco.org/</t>
        </is>
      </c>
      <c r="AD269" s="2" t="inlineStr">
        <is>
          <t>La Venta Monument 19 feathered serpent</t>
        </is>
      </c>
      <c r="AE269" s="2" t="inlineStr">
        <is>
          <t>Iconography does not equal later deity identity automatically.</t>
        </is>
      </c>
      <c r="AF269" s="2" t="inlineStr">
        <is>
          <t>Quetzalcoatl; serpent symbolism</t>
        </is>
      </c>
      <c r="AG269" s="2" t="inlineStr">
        <is>
          <t>High</t>
        </is>
      </c>
      <c r="AH269" s="2" t="inlineStr">
        <is>
          <t>High</t>
        </is>
      </c>
      <c r="AI269" s="2" t="inlineStr"/>
      <c r="AJ269" t="inlineStr">
        <is>
          <t>https://www.inah.gob.mx/</t>
        </is>
      </c>
      <c r="AK269" t="inlineStr">
        <is>
          <t>https://www.famsi.org/</t>
        </is>
      </c>
      <c r="AL269" t="inlineStr">
        <is>
          <t>https://www.inah.gob.mx/</t>
        </is>
      </c>
      <c r="AM269" t="inlineStr">
        <is>
          <t>https://whc.unesco.org/en/search/?searchterm=La+Venta+Monument+19+feathered+serpent</t>
        </is>
      </c>
      <c r="AN269" t="inlineStr">
        <is>
          <t>https://whc.unesco.org/en/search/?searchterm=La+Venta+Monument+19+feathered+serpent</t>
        </is>
      </c>
      <c r="AO269" t="inlineStr">
        <is>
          <t>1) Fact base: INAH. 2) Translation/text: FAMSI. 3) Images/objects: INAH. 4) Context/explanation: UNESCO. 5) Geography/maps: UNESCO. Use Suggested_Search_Term inside each portal.</t>
        </is>
      </c>
      <c r="AP269" t="inlineStr">
        <is>
          <t>Mixed: direct portal homepages plus search-result URLs where the portal exposes a public search endpoint.</t>
        </is>
      </c>
    </row>
    <row r="270">
      <c r="A270" s="2" t="n">
        <v>269</v>
      </c>
      <c r="B270" s="7" t="inlineStr">
        <is>
          <t>BCE_to_1AD</t>
        </is>
      </c>
      <c r="C270" s="2" t="inlineStr">
        <is>
          <t>Mesoamerica</t>
        </is>
      </c>
      <c r="D270" s="2" t="inlineStr">
        <is>
          <t>Olmec</t>
        </is>
      </c>
      <c r="E270" s="2" t="n">
        <v>-1200</v>
      </c>
      <c r="F270" s="2" t="n">
        <v>-400</v>
      </c>
      <c r="G270" s="2" t="inlineStr">
        <is>
          <t>Formative period</t>
        </is>
      </c>
      <c r="H270" s="2" t="inlineStr">
        <is>
          <t>Olmec colossal heads</t>
        </is>
      </c>
      <c r="I270" s="2" t="inlineStr">
        <is>
          <t>Artifact corpus</t>
        </is>
      </c>
      <c r="J270" s="2" t="inlineStr">
        <is>
          <t>basalt monuments</t>
        </is>
      </c>
      <c r="K270" s="2" t="inlineStr">
        <is>
          <t>sacred rulership</t>
        </is>
      </c>
      <c r="L270" s="2" t="inlineStr">
        <is>
          <t>memory / identity</t>
        </is>
      </c>
      <c r="M270" s="2" t="inlineStr">
        <is>
          <t>Mexico</t>
        </is>
      </c>
      <c r="N270" s="2" t="inlineStr">
        <is>
          <t>Gulf Coast</t>
        </is>
      </c>
      <c r="O270" s="2" t="inlineStr">
        <is>
          <t>Monumental stone heads from Olmec centers, central to debates about leadership and social organization.</t>
        </is>
      </c>
      <c r="P270" s="2" t="inlineStr">
        <is>
          <t>Core artifact set in lost-civilization discourse; must be anchored in Formative-period context.</t>
        </is>
      </c>
      <c r="Q270" s="2" t="inlineStr">
        <is>
          <t>High</t>
        </is>
      </c>
      <c r="R270" s="2" t="inlineStr">
        <is>
          <t>No</t>
        </is>
      </c>
      <c r="S270" s="2" t="inlineStr">
        <is>
          <t>Yes</t>
        </is>
      </c>
      <c r="T270" s="2" t="inlineStr">
        <is>
          <t>INAH</t>
        </is>
      </c>
      <c r="U270" s="8" t="inlineStr">
        <is>
          <t>https://www.inah.gob.mx/</t>
        </is>
      </c>
      <c r="V270" s="2" t="inlineStr">
        <is>
          <t>FAMSI</t>
        </is>
      </c>
      <c r="W270" s="8" t="inlineStr">
        <is>
          <t>https://www.famsi.org/</t>
        </is>
      </c>
      <c r="X270" s="2" t="inlineStr">
        <is>
          <t>INAH</t>
        </is>
      </c>
      <c r="Y270" s="8" t="inlineStr">
        <is>
          <t>https://www.inah.gob.mx/</t>
        </is>
      </c>
      <c r="Z270" s="2" t="inlineStr">
        <is>
          <t>UNESCO</t>
        </is>
      </c>
      <c r="AA270" s="8" t="inlineStr">
        <is>
          <t>https://whc.unesco.org/</t>
        </is>
      </c>
      <c r="AB270" s="2" t="inlineStr">
        <is>
          <t>UNESCO</t>
        </is>
      </c>
      <c r="AC270" s="8" t="inlineStr">
        <is>
          <t>https://whc.unesco.org/</t>
        </is>
      </c>
      <c r="AD270" s="2" t="inlineStr">
        <is>
          <t>Olmec colossal heads INAH</t>
        </is>
      </c>
      <c r="AE270" s="2" t="inlineStr">
        <is>
          <t>No text attached; use archaeological context.</t>
        </is>
      </c>
      <c r="AF270" s="2" t="inlineStr">
        <is>
          <t>Monumentality; ancestral rulers</t>
        </is>
      </c>
      <c r="AG270" s="2" t="inlineStr">
        <is>
          <t>Critical</t>
        </is>
      </c>
      <c r="AH270" s="2" t="inlineStr">
        <is>
          <t>High</t>
        </is>
      </c>
      <c r="AI270" s="2" t="inlineStr"/>
      <c r="AJ270" t="inlineStr">
        <is>
          <t>https://www.inah.gob.mx/</t>
        </is>
      </c>
      <c r="AK270" t="inlineStr">
        <is>
          <t>https://www.famsi.org/</t>
        </is>
      </c>
      <c r="AL270" t="inlineStr">
        <is>
          <t>https://www.inah.gob.mx/</t>
        </is>
      </c>
      <c r="AM270" t="inlineStr">
        <is>
          <t>https://whc.unesco.org/en/search/?searchterm=Olmec+colossal+heads+INAH</t>
        </is>
      </c>
      <c r="AN270" t="inlineStr">
        <is>
          <t>https://whc.unesco.org/en/search/?searchterm=Olmec+colossal+heads+INAH</t>
        </is>
      </c>
      <c r="AO270" t="inlineStr">
        <is>
          <t>1) Fact base: INAH. 2) Translation/text: FAMSI. 3) Images/objects: INAH. 4) Context/explanation: UNESCO. 5) Geography/maps: UNESCO. Use Suggested_Search_Term inside each portal.</t>
        </is>
      </c>
      <c r="AP270" t="inlineStr">
        <is>
          <t>Mixed: direct portal homepages plus search-result URLs where the portal exposes a public search endpoint.</t>
        </is>
      </c>
    </row>
    <row r="271">
      <c r="A271" s="2" t="n">
        <v>270</v>
      </c>
      <c r="B271" s="7" t="inlineStr">
        <is>
          <t>BCE_to_1AD</t>
        </is>
      </c>
      <c r="C271" s="2" t="inlineStr">
        <is>
          <t>Mesoamerica</t>
        </is>
      </c>
      <c r="D271" s="2" t="inlineStr">
        <is>
          <t>Epi-Olmec</t>
        </is>
      </c>
      <c r="E271" s="2" t="n">
        <v>-100</v>
      </c>
      <c r="F271" s="2" t="n">
        <v>-1</v>
      </c>
      <c r="G271" s="2" t="inlineStr">
        <is>
          <t>Late BCE</t>
        </is>
      </c>
      <c r="H271" s="2" t="inlineStr">
        <is>
          <t>La Mojarra Stela 1</t>
        </is>
      </c>
      <c r="I271" s="2" t="inlineStr">
        <is>
          <t>Inscription / monument</t>
        </is>
      </c>
      <c r="J271" s="2" t="inlineStr">
        <is>
          <t>stone inscription</t>
        </is>
      </c>
      <c r="K271" s="2" t="inlineStr">
        <is>
          <t>early script</t>
        </is>
      </c>
      <c r="L271" s="2" t="inlineStr">
        <is>
          <t>kingship</t>
        </is>
      </c>
      <c r="M271" s="2" t="inlineStr">
        <is>
          <t>Mexico</t>
        </is>
      </c>
      <c r="N271" s="2" t="inlineStr">
        <is>
          <t>Veracruz</t>
        </is>
      </c>
      <c r="O271" s="2" t="inlineStr">
        <is>
          <t>Monument with long inscription in Isthmian/Epi-Olmec script and calendrical notation.</t>
        </is>
      </c>
      <c r="P271" s="2" t="inlineStr">
        <is>
          <t>Rare direct written evidence from late BCE Mesoamerica.</t>
        </is>
      </c>
      <c r="Q271" s="2" t="inlineStr">
        <is>
          <t>Medium</t>
        </is>
      </c>
      <c r="R271" s="2" t="inlineStr">
        <is>
          <t>Partly</t>
        </is>
      </c>
      <c r="S271" s="2" t="inlineStr">
        <is>
          <t>Yes</t>
        </is>
      </c>
      <c r="T271" s="2" t="inlineStr">
        <is>
          <t>FAMSI</t>
        </is>
      </c>
      <c r="U271" s="8" t="inlineStr">
        <is>
          <t>https://www.famsi.org/</t>
        </is>
      </c>
      <c r="V271" s="2" t="inlineStr">
        <is>
          <t>FAMSI</t>
        </is>
      </c>
      <c r="W271" s="8" t="inlineStr">
        <is>
          <t>https://www.famsi.org/</t>
        </is>
      </c>
      <c r="X271" s="2" t="inlineStr">
        <is>
          <t>INAH</t>
        </is>
      </c>
      <c r="Y271" s="8" t="inlineStr">
        <is>
          <t>https://www.inah.gob.mx/</t>
        </is>
      </c>
      <c r="Z271" s="2" t="inlineStr">
        <is>
          <t>UNESCO</t>
        </is>
      </c>
      <c r="AA271" s="8" t="inlineStr">
        <is>
          <t>https://whc.unesco.org/</t>
        </is>
      </c>
      <c r="AB271" s="2" t="inlineStr">
        <is>
          <t>UNESCO</t>
        </is>
      </c>
      <c r="AC271" s="8" t="inlineStr">
        <is>
          <t>https://whc.unesco.org/</t>
        </is>
      </c>
      <c r="AD271" s="2" t="inlineStr">
        <is>
          <t>La Mojarra Stela 1 translation</t>
        </is>
      </c>
      <c r="AE271" s="2" t="inlineStr">
        <is>
          <t>Decipherment remains debated; be careful with strong claims.</t>
        </is>
      </c>
      <c r="AF271" s="2" t="inlineStr">
        <is>
          <t>Early writing; Long Count precursors</t>
        </is>
      </c>
      <c r="AG271" s="2" t="inlineStr">
        <is>
          <t>Critical</t>
        </is>
      </c>
      <c r="AH271" s="2" t="inlineStr">
        <is>
          <t>Medium</t>
        </is>
      </c>
      <c r="AI271" s="2" t="inlineStr"/>
      <c r="AJ271" t="inlineStr">
        <is>
          <t>https://www.famsi.org/</t>
        </is>
      </c>
      <c r="AK271" t="inlineStr">
        <is>
          <t>https://www.famsi.org/</t>
        </is>
      </c>
      <c r="AL271" t="inlineStr">
        <is>
          <t>https://www.inah.gob.mx/</t>
        </is>
      </c>
      <c r="AM271" t="inlineStr">
        <is>
          <t>https://whc.unesco.org/en/search/?searchterm=La+Mojarra+Stela+1+translation</t>
        </is>
      </c>
      <c r="AN271" t="inlineStr">
        <is>
          <t>https://whc.unesco.org/en/search/?searchterm=La+Mojarra+Stela+1+translation</t>
        </is>
      </c>
      <c r="AO271" t="inlineStr">
        <is>
          <t>1) Fact base: FAMSI. 2) Translation/text: FAMSI. 3) Images/objects: INAH. 4) Context/explanation: UNESCO. 5) Geography/maps: UNESCO. Use Suggested_Search_Term inside each portal.</t>
        </is>
      </c>
      <c r="AP271" t="inlineStr">
        <is>
          <t>Mixed: direct portal homepages plus search-result URLs where the portal exposes a public search endpoint.</t>
        </is>
      </c>
    </row>
    <row r="272">
      <c r="A272" s="2" t="n">
        <v>271</v>
      </c>
      <c r="B272" s="7" t="inlineStr">
        <is>
          <t>BCE_to_1AD</t>
        </is>
      </c>
      <c r="C272" s="2" t="inlineStr">
        <is>
          <t>Mesoamerica</t>
        </is>
      </c>
      <c r="D272" s="2" t="inlineStr">
        <is>
          <t>Maya</t>
        </is>
      </c>
      <c r="E272" s="2" t="n">
        <v>-300</v>
      </c>
      <c r="F272" s="2" t="n">
        <v>-1</v>
      </c>
      <c r="G272" s="2" t="inlineStr">
        <is>
          <t>Late Preclassic</t>
        </is>
      </c>
      <c r="H272" s="2" t="inlineStr">
        <is>
          <t>Izapa Stelae</t>
        </is>
      </c>
      <c r="I272" s="2" t="inlineStr">
        <is>
          <t>Monument corpus</t>
        </is>
      </c>
      <c r="J272" s="2" t="inlineStr">
        <is>
          <t>stone monuments</t>
        </is>
      </c>
      <c r="K272" s="2" t="inlineStr">
        <is>
          <t>mythic scenes</t>
        </is>
      </c>
      <c r="L272" s="2" t="inlineStr">
        <is>
          <t>world tree / ruler imagery</t>
        </is>
      </c>
      <c r="M272" s="2" t="inlineStr">
        <is>
          <t>Mexico</t>
        </is>
      </c>
      <c r="N272" s="2" t="inlineStr">
        <is>
          <t>Izapa</t>
        </is>
      </c>
      <c r="O272" s="2" t="inlineStr">
        <is>
          <t>Monuments with narrative/mythic iconography from Late Preclassic southern Mesoamerica.</t>
        </is>
      </c>
      <c r="P272" s="2" t="inlineStr">
        <is>
          <t>Frequently used to discuss early mythic visual programs before classic texts.</t>
        </is>
      </c>
      <c r="Q272" s="2" t="inlineStr">
        <is>
          <t>Medium</t>
        </is>
      </c>
      <c r="R272" s="2" t="inlineStr">
        <is>
          <t>No</t>
        </is>
      </c>
      <c r="S272" s="2" t="inlineStr">
        <is>
          <t>Yes</t>
        </is>
      </c>
      <c r="T272" s="2" t="inlineStr">
        <is>
          <t>FAMSI</t>
        </is>
      </c>
      <c r="U272" s="8" t="inlineStr">
        <is>
          <t>https://www.famsi.org/</t>
        </is>
      </c>
      <c r="V272" s="2" t="inlineStr">
        <is>
          <t>FAMSI</t>
        </is>
      </c>
      <c r="W272" s="8" t="inlineStr">
        <is>
          <t>https://www.famsi.org/</t>
        </is>
      </c>
      <c r="X272" s="2" t="inlineStr">
        <is>
          <t>INAH</t>
        </is>
      </c>
      <c r="Y272" s="8" t="inlineStr">
        <is>
          <t>https://www.inah.gob.mx/</t>
        </is>
      </c>
      <c r="Z272" s="2" t="inlineStr">
        <is>
          <t>UNESCO</t>
        </is>
      </c>
      <c r="AA272" s="8" t="inlineStr">
        <is>
          <t>https://whc.unesco.org/</t>
        </is>
      </c>
      <c r="AB272" s="2" t="inlineStr">
        <is>
          <t>UNESCO</t>
        </is>
      </c>
      <c r="AC272" s="8" t="inlineStr">
        <is>
          <t>https://whc.unesco.org/</t>
        </is>
      </c>
      <c r="AD272" s="2" t="inlineStr">
        <is>
          <t>Izapa stelae world tree</t>
        </is>
      </c>
      <c r="AE272" s="2" t="inlineStr">
        <is>
          <t>Interpretation is iconographic rather than textual.</t>
        </is>
      </c>
      <c r="AF272" s="2" t="inlineStr">
        <is>
          <t>World tree; creation scenes</t>
        </is>
      </c>
      <c r="AG272" s="2" t="inlineStr">
        <is>
          <t>High</t>
        </is>
      </c>
      <c r="AH272" s="2" t="inlineStr">
        <is>
          <t>High</t>
        </is>
      </c>
      <c r="AI272" s="2" t="inlineStr"/>
      <c r="AJ272" t="inlineStr">
        <is>
          <t>https://www.famsi.org/</t>
        </is>
      </c>
      <c r="AK272" t="inlineStr">
        <is>
          <t>https://www.famsi.org/</t>
        </is>
      </c>
      <c r="AL272" t="inlineStr">
        <is>
          <t>https://www.inah.gob.mx/</t>
        </is>
      </c>
      <c r="AM272" t="inlineStr">
        <is>
          <t>https://whc.unesco.org/en/search/?searchterm=Izapa+stelae+world+tree</t>
        </is>
      </c>
      <c r="AN272" t="inlineStr">
        <is>
          <t>https://whc.unesco.org/en/search/?searchterm=Izapa+stelae+world+tree</t>
        </is>
      </c>
      <c r="AO272" t="inlineStr">
        <is>
          <t>1) Fact base: FAMSI. 2) Translation/text: FAMSI. 3) Images/objects: INAH. 4) Context/explanation: UNESCO. 5) Geography/maps: UNESCO. Use Suggested_Search_Term inside each portal.</t>
        </is>
      </c>
      <c r="AP272" t="inlineStr">
        <is>
          <t>Mixed: direct portal homepages plus search-result URLs where the portal exposes a public search endpoint.</t>
        </is>
      </c>
    </row>
    <row r="273">
      <c r="A273" s="2" t="n">
        <v>272</v>
      </c>
      <c r="B273" s="7" t="inlineStr">
        <is>
          <t>Later_witness_or_post_1AD_relevance</t>
        </is>
      </c>
      <c r="C273" s="2" t="inlineStr">
        <is>
          <t>Mesoamerica</t>
        </is>
      </c>
      <c r="D273" s="2" t="inlineStr">
        <is>
          <t>K’iche’ Maya</t>
        </is>
      </c>
      <c r="E273" s="2" t="n">
        <v>1</v>
      </c>
      <c r="F273" s="2" t="n">
        <v>1700</v>
      </c>
      <c r="G273" s="2" t="inlineStr">
        <is>
          <t>Later witness preserving older tradition</t>
        </is>
      </c>
      <c r="H273" s="2" t="inlineStr">
        <is>
          <t>Popol Vuh</t>
        </is>
      </c>
      <c r="I273" s="2" t="inlineStr">
        <is>
          <t>Text tradition</t>
        </is>
      </c>
      <c r="J273" s="2" t="inlineStr">
        <is>
          <t>colonial alphabetic manuscript</t>
        </is>
      </c>
      <c r="K273" s="2" t="inlineStr">
        <is>
          <t>creation</t>
        </is>
      </c>
      <c r="L273" s="2" t="inlineStr">
        <is>
          <t>flood / hero twins</t>
        </is>
      </c>
      <c r="M273" s="2" t="inlineStr">
        <is>
          <t>Guatemala manuscript tradition</t>
        </is>
      </c>
      <c r="N273" s="2" t="inlineStr">
        <is>
          <t>K’iche’ Maya world</t>
        </is>
      </c>
      <c r="O273" s="2" t="inlineStr">
        <is>
          <t>K’iche’ Maya narrative preserving creation, failed human creations, flood-like destruction, and hero twins.</t>
        </is>
      </c>
      <c r="P273" s="2" t="inlineStr">
        <is>
          <t>One of the most important later witnesses for Mesoamerican origins.</t>
        </is>
      </c>
      <c r="Q273" s="2" t="inlineStr">
        <is>
          <t>High</t>
        </is>
      </c>
      <c r="R273" s="2" t="inlineStr">
        <is>
          <t>Yes</t>
        </is>
      </c>
      <c r="S273" s="2" t="inlineStr">
        <is>
          <t>Low</t>
        </is>
      </c>
      <c r="T273" s="2" t="inlineStr">
        <is>
          <t>FAMSI</t>
        </is>
      </c>
      <c r="U273" s="8" t="inlineStr">
        <is>
          <t>https://www.famsi.org/</t>
        </is>
      </c>
      <c r="V273" s="2" t="inlineStr">
        <is>
          <t>Internet Archive</t>
        </is>
      </c>
      <c r="W273" s="8" t="inlineStr">
        <is>
          <t>https://archive.org/</t>
        </is>
      </c>
      <c r="X273" s="2" t="inlineStr">
        <is>
          <t>FAMSI</t>
        </is>
      </c>
      <c r="Y273" s="8" t="inlineStr">
        <is>
          <t>https://www.famsi.org/</t>
        </is>
      </c>
      <c r="Z273" s="2" t="inlineStr">
        <is>
          <t>UNESCO</t>
        </is>
      </c>
      <c r="AA273" s="8" t="inlineStr">
        <is>
          <t>https://whc.unesco.org/</t>
        </is>
      </c>
      <c r="AB273" s="2" t="inlineStr">
        <is>
          <t>UNESCO</t>
        </is>
      </c>
      <c r="AC273" s="8" t="inlineStr">
        <is>
          <t>https://whc.unesco.org/</t>
        </is>
      </c>
      <c r="AD273" s="2" t="inlineStr">
        <is>
          <t>Popol Vuh translation</t>
        </is>
      </c>
      <c r="AE273" s="2" t="inlineStr">
        <is>
          <t>Not BCE manuscript evidence; explicitly later witness.</t>
        </is>
      </c>
      <c r="AF273" s="2" t="inlineStr">
        <is>
          <t>Creation cycles; flood motifs; culture heroes</t>
        </is>
      </c>
      <c r="AG273" s="2" t="inlineStr">
        <is>
          <t>Critical</t>
        </is>
      </c>
      <c r="AH273" s="2" t="inlineStr">
        <is>
          <t>High</t>
        </is>
      </c>
      <c r="AI273" s="2" t="inlineStr"/>
      <c r="AJ273" t="inlineStr">
        <is>
          <t>https://www.famsi.org/</t>
        </is>
      </c>
      <c r="AK273" t="inlineStr">
        <is>
          <t>https://archive.org/search?query=Popol+Vuh+translation</t>
        </is>
      </c>
      <c r="AL273" t="inlineStr">
        <is>
          <t>https://www.famsi.org/</t>
        </is>
      </c>
      <c r="AM273" t="inlineStr">
        <is>
          <t>https://whc.unesco.org/en/search/?searchterm=Popol+Vuh+translation</t>
        </is>
      </c>
      <c r="AN273" t="inlineStr">
        <is>
          <t>https://whc.unesco.org/en/search/?searchterm=Popol+Vuh+translation</t>
        </is>
      </c>
      <c r="AO273" t="inlineStr">
        <is>
          <t>1) Fact base: FAMSI. 2) Translation/text: Internet Archive. 3) Images/objects: FAMSI. 4) Context/explanation: UNESCO. 5) Geography/maps: UNESCO. Use Suggested_Search_Term inside each portal.</t>
        </is>
      </c>
      <c r="AP273" t="inlineStr">
        <is>
          <t>Mixed: direct portal homepages plus search-result URLs where the portal exposes a public search endpoint.</t>
        </is>
      </c>
    </row>
    <row r="274">
      <c r="A274" s="2" t="n">
        <v>273</v>
      </c>
      <c r="B274" s="7" t="inlineStr">
        <is>
          <t>Later_witness_or_post_1AD_relevance</t>
        </is>
      </c>
      <c r="C274" s="2" t="inlineStr">
        <is>
          <t>Mesoamerica</t>
        </is>
      </c>
      <c r="D274" s="2" t="inlineStr">
        <is>
          <t>Maya</t>
        </is>
      </c>
      <c r="E274" s="2" t="n">
        <v>1</v>
      </c>
      <c r="F274" s="2" t="n">
        <v>1500</v>
      </c>
      <c r="G274" s="2" t="inlineStr">
        <is>
          <t>Postclassic / later witness</t>
        </is>
      </c>
      <c r="H274" s="2" t="inlineStr">
        <is>
          <t>Dresden Codex</t>
        </is>
      </c>
      <c r="I274" s="2" t="inlineStr">
        <is>
          <t>Manuscript</t>
        </is>
      </c>
      <c r="J274" s="2" t="inlineStr">
        <is>
          <t>painted codex</t>
        </is>
      </c>
      <c r="K274" s="2" t="inlineStr">
        <is>
          <t>calendar</t>
        </is>
      </c>
      <c r="L274" s="2" t="inlineStr">
        <is>
          <t>astronomy / ritual</t>
        </is>
      </c>
      <c r="M274" s="2" t="inlineStr">
        <is>
          <t>Germany</t>
        </is>
      </c>
      <c r="N274" s="2" t="inlineStr">
        <is>
          <t>Yucatán Maya tradition</t>
        </is>
      </c>
      <c r="O274" s="2" t="inlineStr">
        <is>
          <t>Maya codex with almanacs, astronomy, ritual cycles, and deities.</t>
        </is>
      </c>
      <c r="P274" s="2" t="inlineStr">
        <is>
          <t>One of the strongest direct Mesoamerican cosmology artifacts, though post-1 AD.</t>
        </is>
      </c>
      <c r="Q274" s="2" t="inlineStr">
        <is>
          <t>High</t>
        </is>
      </c>
      <c r="R274" s="2" t="inlineStr">
        <is>
          <t>Partly</t>
        </is>
      </c>
      <c r="S274" s="2" t="inlineStr">
        <is>
          <t>Yes</t>
        </is>
      </c>
      <c r="T274" s="2" t="inlineStr">
        <is>
          <t>FAMSI</t>
        </is>
      </c>
      <c r="U274" s="8" t="inlineStr">
        <is>
          <t>https://www.famsi.org/</t>
        </is>
      </c>
      <c r="V274" s="2" t="inlineStr">
        <is>
          <t>FAMSI</t>
        </is>
      </c>
      <c r="W274" s="8" t="inlineStr">
        <is>
          <t>https://www.famsi.org/</t>
        </is>
      </c>
      <c r="X274" s="2" t="inlineStr">
        <is>
          <t>FAMSI</t>
        </is>
      </c>
      <c r="Y274" s="8" t="inlineStr">
        <is>
          <t>https://www.famsi.org/</t>
        </is>
      </c>
      <c r="Z274" s="2" t="inlineStr">
        <is>
          <t>UNESCO</t>
        </is>
      </c>
      <c r="AA274" s="8" t="inlineStr">
        <is>
          <t>https://whc.unesco.org/</t>
        </is>
      </c>
      <c r="AB274" s="2" t="inlineStr">
        <is>
          <t>UNESCO</t>
        </is>
      </c>
      <c r="AC274" s="8" t="inlineStr">
        <is>
          <t>https://whc.unesco.org/</t>
        </is>
      </c>
      <c r="AD274" s="2" t="inlineStr">
        <is>
          <t>Dresden Codex facsimile FAMSI</t>
        </is>
      </c>
      <c r="AE274" s="2" t="inlineStr">
        <is>
          <t>Postclassic witness; still indispensable for sky and calendar systems.</t>
        </is>
      </c>
      <c r="AF274" s="2" t="inlineStr">
        <is>
          <t>MUL.APIN; omen-calendrical systems</t>
        </is>
      </c>
      <c r="AG274" s="2" t="inlineStr">
        <is>
          <t>Critical</t>
        </is>
      </c>
      <c r="AH274" s="2" t="inlineStr">
        <is>
          <t>High</t>
        </is>
      </c>
      <c r="AI274" s="2" t="inlineStr"/>
      <c r="AJ274" t="inlineStr">
        <is>
          <t>https://www.famsi.org/</t>
        </is>
      </c>
      <c r="AK274" t="inlineStr">
        <is>
          <t>https://www.famsi.org/</t>
        </is>
      </c>
      <c r="AL274" t="inlineStr">
        <is>
          <t>https://www.famsi.org/</t>
        </is>
      </c>
      <c r="AM274" t="inlineStr">
        <is>
          <t>https://whc.unesco.org/en/search/?searchterm=Dresden+Codex+facsimile+FAMSI</t>
        </is>
      </c>
      <c r="AN274" t="inlineStr">
        <is>
          <t>https://whc.unesco.org/en/search/?searchterm=Dresden+Codex+facsimile+FAMSI</t>
        </is>
      </c>
      <c r="AO274" t="inlineStr">
        <is>
          <t>1) Fact base: FAMSI. 2) Translation/text: FAMSI. 3) Images/objects: FAMSI. 4) Context/explanation: UNESCO. 5) Geography/maps: UNESCO. Use Suggested_Search_Term inside each portal.</t>
        </is>
      </c>
      <c r="AP274" t="inlineStr">
        <is>
          <t>Mixed: direct portal homepages plus search-result URLs where the portal exposes a public search endpoint.</t>
        </is>
      </c>
    </row>
    <row r="275">
      <c r="A275" s="2" t="n">
        <v>274</v>
      </c>
      <c r="B275" s="7" t="inlineStr">
        <is>
          <t>BCE_to_1AD</t>
        </is>
      </c>
      <c r="C275" s="2" t="inlineStr">
        <is>
          <t>Andes / South America</t>
        </is>
      </c>
      <c r="D275" s="2" t="inlineStr">
        <is>
          <t>Norte Chico / Caral</t>
        </is>
      </c>
      <c r="E275" s="2" t="n">
        <v>-3000</v>
      </c>
      <c r="F275" s="2" t="n">
        <v>-1800</v>
      </c>
      <c r="G275" s="2" t="inlineStr">
        <is>
          <t>3rd-2nd millennium BCE</t>
        </is>
      </c>
      <c r="H275" s="2" t="inlineStr">
        <is>
          <t>Caral monumental complexes</t>
        </is>
      </c>
      <c r="I275" s="2" t="inlineStr">
        <is>
          <t>Site</t>
        </is>
      </c>
      <c r="J275" s="2" t="inlineStr">
        <is>
          <t>architecture</t>
        </is>
      </c>
      <c r="K275" s="2" t="inlineStr">
        <is>
          <t>early urban ritual</t>
        </is>
      </c>
      <c r="L275" s="2" t="inlineStr">
        <is>
          <t>sacred landscape</t>
        </is>
      </c>
      <c r="M275" s="2" t="inlineStr">
        <is>
          <t>Peru</t>
        </is>
      </c>
      <c r="N275" s="2" t="inlineStr">
        <is>
          <t>Supe Valley</t>
        </is>
      </c>
      <c r="O275" s="2" t="inlineStr">
        <is>
          <t>Early Andean urban ceremonial centers with platform mounds and plazas.</t>
        </is>
      </c>
      <c r="P275" s="2" t="inlineStr">
        <is>
          <t>Core anchor for early American civilization without writing.</t>
        </is>
      </c>
      <c r="Q275" s="2" t="inlineStr">
        <is>
          <t>High</t>
        </is>
      </c>
      <c r="R275" s="2" t="inlineStr">
        <is>
          <t>No</t>
        </is>
      </c>
      <c r="S275" s="2" t="inlineStr">
        <is>
          <t>Yes</t>
        </is>
      </c>
      <c r="T275" s="2" t="inlineStr">
        <is>
          <t>UNESCO</t>
        </is>
      </c>
      <c r="U275" s="8" t="inlineStr">
        <is>
          <t>https://whc.unesco.org/</t>
        </is>
      </c>
      <c r="V275" s="2" t="inlineStr">
        <is>
          <t>UNESCO</t>
        </is>
      </c>
      <c r="W275" s="8" t="inlineStr">
        <is>
          <t>https://whc.unesco.org/</t>
        </is>
      </c>
      <c r="X275" s="2" t="inlineStr">
        <is>
          <t>UNESCO</t>
        </is>
      </c>
      <c r="Y275" s="8" t="inlineStr">
        <is>
          <t>https://whc.unesco.org/</t>
        </is>
      </c>
      <c r="Z275" s="2" t="inlineStr">
        <is>
          <t>UNESCO</t>
        </is>
      </c>
      <c r="AA275" s="8" t="inlineStr">
        <is>
          <t>https://whc.unesco.org/</t>
        </is>
      </c>
      <c r="AB275" s="2" t="inlineStr">
        <is>
          <t>UNESCO</t>
        </is>
      </c>
      <c r="AC275" s="8" t="inlineStr">
        <is>
          <t>https://whc.unesco.org/</t>
        </is>
      </c>
      <c r="AD275" s="2" t="inlineStr">
        <is>
          <t>Caral archaeology</t>
        </is>
      </c>
      <c r="AE275" s="2" t="inlineStr">
        <is>
          <t>No direct text corpus; architecture and finds are the evidence base.</t>
        </is>
      </c>
      <c r="AF275" s="2" t="inlineStr">
        <is>
          <t>Early civilization; sacred urbanism</t>
        </is>
      </c>
      <c r="AG275" s="2" t="inlineStr">
        <is>
          <t>Critical</t>
        </is>
      </c>
      <c r="AH275" s="2" t="inlineStr">
        <is>
          <t>High</t>
        </is>
      </c>
      <c r="AI275" s="2" t="inlineStr"/>
      <c r="AJ275" t="inlineStr">
        <is>
          <t>https://whc.unesco.org/en/search/?searchterm=Caral+archaeology</t>
        </is>
      </c>
      <c r="AK275" t="inlineStr">
        <is>
          <t>https://whc.unesco.org/en/search/?searchterm=Caral+archaeology</t>
        </is>
      </c>
      <c r="AL275" t="inlineStr">
        <is>
          <t>https://whc.unesco.org/en/search/?searchterm=Caral+archaeology</t>
        </is>
      </c>
      <c r="AM275" t="inlineStr">
        <is>
          <t>https://whc.unesco.org/en/search/?searchterm=Caral+archaeology</t>
        </is>
      </c>
      <c r="AN275" t="inlineStr">
        <is>
          <t>https://whc.unesco.org/en/search/?searchterm=Caral+archaeology</t>
        </is>
      </c>
      <c r="AO275" t="inlineStr">
        <is>
          <t>1) Fact base: UNESCO. 2) Translation/text: UNESCO. 3) Images/objects: UNESCO. 4) Context/explanation: UNESCO. 5) Geography/maps: UNESCO. Use Suggested_Search_Term inside each portal.</t>
        </is>
      </c>
      <c r="AP275" t="inlineStr">
        <is>
          <t>Mixed: direct portal homepages plus search-result URLs where the portal exposes a public search endpoint.</t>
        </is>
      </c>
    </row>
    <row r="276">
      <c r="A276" s="2" t="n">
        <v>275</v>
      </c>
      <c r="B276" s="7" t="inlineStr">
        <is>
          <t>BCE_to_1AD</t>
        </is>
      </c>
      <c r="C276" s="2" t="inlineStr">
        <is>
          <t>Andes / South America</t>
        </is>
      </c>
      <c r="D276" s="2" t="inlineStr">
        <is>
          <t>Chavín</t>
        </is>
      </c>
      <c r="E276" s="2" t="n">
        <v>-900</v>
      </c>
      <c r="F276" s="2" t="n">
        <v>-200</v>
      </c>
      <c r="G276" s="2" t="inlineStr">
        <is>
          <t>1st millennium BCE</t>
        </is>
      </c>
      <c r="H276" s="2" t="inlineStr">
        <is>
          <t>Lanzón of Chavín</t>
        </is>
      </c>
      <c r="I276" s="2" t="inlineStr">
        <is>
          <t>Artifact / site</t>
        </is>
      </c>
      <c r="J276" s="2" t="inlineStr">
        <is>
          <t>stone sculpture in temple</t>
        </is>
      </c>
      <c r="K276" s="2" t="inlineStr">
        <is>
          <t>creator / staff deity imagery</t>
        </is>
      </c>
      <c r="L276" s="2" t="inlineStr">
        <is>
          <t>ritual transformation</t>
        </is>
      </c>
      <c r="M276" s="2" t="inlineStr">
        <is>
          <t>Peru</t>
        </is>
      </c>
      <c r="N276" s="2" t="inlineStr">
        <is>
          <t>Chavín de Huántar</t>
        </is>
      </c>
      <c r="O276" s="2" t="inlineStr">
        <is>
          <t>Central monolith in temple complex with complex anthropomorphic-feline-serpent imagery.</t>
        </is>
      </c>
      <c r="P276" s="2" t="inlineStr">
        <is>
          <t>Major factual anchor for Andean religious iconography.</t>
        </is>
      </c>
      <c r="Q276" s="2" t="inlineStr">
        <is>
          <t>High</t>
        </is>
      </c>
      <c r="R276" s="2" t="inlineStr">
        <is>
          <t>No</t>
        </is>
      </c>
      <c r="S276" s="2" t="inlineStr">
        <is>
          <t>Yes</t>
        </is>
      </c>
      <c r="T276" s="2" t="inlineStr">
        <is>
          <t>UNESCO</t>
        </is>
      </c>
      <c r="U276" s="8" t="inlineStr">
        <is>
          <t>https://whc.unesco.org/</t>
        </is>
      </c>
      <c r="V276" s="2" t="inlineStr">
        <is>
          <t>UNESCO</t>
        </is>
      </c>
      <c r="W276" s="8" t="inlineStr">
        <is>
          <t>https://whc.unesco.org/</t>
        </is>
      </c>
      <c r="X276" s="2" t="inlineStr">
        <is>
          <t>UNESCO</t>
        </is>
      </c>
      <c r="Y276" s="8" t="inlineStr">
        <is>
          <t>https://whc.unesco.org/</t>
        </is>
      </c>
      <c r="Z276" s="2" t="inlineStr">
        <is>
          <t>UNESCO</t>
        </is>
      </c>
      <c r="AA276" s="8" t="inlineStr">
        <is>
          <t>https://whc.unesco.org/</t>
        </is>
      </c>
      <c r="AB276" s="2" t="inlineStr">
        <is>
          <t>UNESCO</t>
        </is>
      </c>
      <c r="AC276" s="8" t="inlineStr">
        <is>
          <t>https://whc.unesco.org/</t>
        </is>
      </c>
      <c r="AD276" s="2" t="inlineStr">
        <is>
          <t>Lanzon Chavin</t>
        </is>
      </c>
      <c r="AE276" s="2" t="inlineStr">
        <is>
          <t>Iconography rich but textless; avoid over-specific deity naming.</t>
        </is>
      </c>
      <c r="AF276" s="2" t="inlineStr">
        <is>
          <t>Staff god traditions; sacred sound</t>
        </is>
      </c>
      <c r="AG276" s="2" t="inlineStr">
        <is>
          <t>Critical</t>
        </is>
      </c>
      <c r="AH276" s="2" t="inlineStr">
        <is>
          <t>High</t>
        </is>
      </c>
      <c r="AI276" s="2" t="inlineStr"/>
      <c r="AJ276" t="inlineStr">
        <is>
          <t>https://whc.unesco.org/en/search/?searchterm=Lanzon+Chavin</t>
        </is>
      </c>
      <c r="AK276" t="inlineStr">
        <is>
          <t>https://whc.unesco.org/en/search/?searchterm=Lanzon+Chavin</t>
        </is>
      </c>
      <c r="AL276" t="inlineStr">
        <is>
          <t>https://whc.unesco.org/en/search/?searchterm=Lanzon+Chavin</t>
        </is>
      </c>
      <c r="AM276" t="inlineStr">
        <is>
          <t>https://whc.unesco.org/en/search/?searchterm=Lanzon+Chavin</t>
        </is>
      </c>
      <c r="AN276" t="inlineStr">
        <is>
          <t>https://whc.unesco.org/en/search/?searchterm=Lanzon+Chavin</t>
        </is>
      </c>
      <c r="AO276" t="inlineStr">
        <is>
          <t>1) Fact base: UNESCO. 2) Translation/text: UNESCO. 3) Images/objects: UNESCO. 4) Context/explanation: UNESCO. 5) Geography/maps: UNESCO. Use Suggested_Search_Term inside each portal.</t>
        </is>
      </c>
      <c r="AP276" t="inlineStr">
        <is>
          <t>Mixed: direct portal homepages plus search-result URLs where the portal exposes a public search endpoint.</t>
        </is>
      </c>
    </row>
    <row r="277">
      <c r="A277" s="2" t="n">
        <v>276</v>
      </c>
      <c r="B277" s="7" t="inlineStr">
        <is>
          <t>Later_witness_or_post_1AD_relevance</t>
        </is>
      </c>
      <c r="C277" s="2" t="inlineStr">
        <is>
          <t>Andes / South America</t>
        </is>
      </c>
      <c r="D277" s="2" t="inlineStr">
        <is>
          <t>Andean tradition</t>
        </is>
      </c>
      <c r="E277" s="2" t="n">
        <v>1</v>
      </c>
      <c r="F277" s="2" t="n">
        <v>1600</v>
      </c>
      <c r="G277" s="2" t="inlineStr">
        <is>
          <t>Colonial witnesses to older tradition</t>
        </is>
      </c>
      <c r="H277" s="2" t="inlineStr">
        <is>
          <t>Viracocha origin traditions</t>
        </is>
      </c>
      <c r="I277" s="2" t="inlineStr">
        <is>
          <t>Oral tradition / later chronicles</t>
        </is>
      </c>
      <c r="J277" s="2" t="inlineStr">
        <is>
          <t>colonial texts preserving oral tradition</t>
        </is>
      </c>
      <c r="K277" s="2" t="inlineStr">
        <is>
          <t>creator god</t>
        </is>
      </c>
      <c r="L277" s="2" t="inlineStr">
        <is>
          <t>flood / post-flood teaching</t>
        </is>
      </c>
      <c r="M277" s="2" t="inlineStr">
        <is>
          <t>Peru / Bolivia</t>
        </is>
      </c>
      <c r="N277" s="2" t="inlineStr">
        <is>
          <t>Lake Titicaca and Andes</t>
        </is>
      </c>
      <c r="O277" s="2" t="inlineStr">
        <is>
          <t>Colonial chroniclers preserve Andean traditions of Viracocha creating, flooding, and sending forth peoples.</t>
        </is>
      </c>
      <c r="P277" s="2" t="inlineStr">
        <is>
          <t>Indispensable later witness for Andean creation and flood themes.</t>
        </is>
      </c>
      <c r="Q277" s="2" t="inlineStr">
        <is>
          <t>High</t>
        </is>
      </c>
      <c r="R277" s="2" t="inlineStr">
        <is>
          <t>Yes</t>
        </is>
      </c>
      <c r="S277" s="2" t="inlineStr">
        <is>
          <t>Low</t>
        </is>
      </c>
      <c r="T277" s="2" t="inlineStr">
        <is>
          <t>Internet Archive</t>
        </is>
      </c>
      <c r="U277" s="8" t="inlineStr">
        <is>
          <t>https://archive.org/</t>
        </is>
      </c>
      <c r="V277" s="2" t="inlineStr">
        <is>
          <t>Internet Archive</t>
        </is>
      </c>
      <c r="W277" s="8" t="inlineStr">
        <is>
          <t>https://archive.org/</t>
        </is>
      </c>
      <c r="X277" s="2" t="inlineStr">
        <is>
          <t>UNESCO</t>
        </is>
      </c>
      <c r="Y277" s="8" t="inlineStr">
        <is>
          <t>https://whc.unesco.org/</t>
        </is>
      </c>
      <c r="Z277" s="2" t="inlineStr">
        <is>
          <t>UNESCO</t>
        </is>
      </c>
      <c r="AA277" s="8" t="inlineStr">
        <is>
          <t>https://whc.unesco.org/</t>
        </is>
      </c>
      <c r="AB277" s="2" t="inlineStr">
        <is>
          <t>UNESCO</t>
        </is>
      </c>
      <c r="AC277" s="8" t="inlineStr">
        <is>
          <t>https://whc.unesco.org/</t>
        </is>
      </c>
      <c r="AD277" s="2" t="inlineStr">
        <is>
          <t>Viracocha flood traditions translation</t>
        </is>
      </c>
      <c r="AE277" s="2" t="inlineStr">
        <is>
          <t>Explicitly later witness; compare with archaeology but do not collapse them.</t>
        </is>
      </c>
      <c r="AF277" s="2" t="inlineStr">
        <is>
          <t>Noah; Quetzalcoatl; culture heroes</t>
        </is>
      </c>
      <c r="AG277" s="2" t="inlineStr">
        <is>
          <t>Critical</t>
        </is>
      </c>
      <c r="AH277" s="2" t="inlineStr">
        <is>
          <t>High</t>
        </is>
      </c>
      <c r="AI277" s="2" t="inlineStr"/>
      <c r="AJ277" t="inlineStr">
        <is>
          <t>https://archive.org/search?query=Viracocha+flood+traditions+translation</t>
        </is>
      </c>
      <c r="AK277" t="inlineStr">
        <is>
          <t>https://archive.org/search?query=Viracocha+flood+traditions+translation</t>
        </is>
      </c>
      <c r="AL277" t="inlineStr">
        <is>
          <t>https://whc.unesco.org/en/search/?searchterm=Viracocha+flood+traditions+translation</t>
        </is>
      </c>
      <c r="AM277" t="inlineStr">
        <is>
          <t>https://whc.unesco.org/en/search/?searchterm=Viracocha+flood+traditions+translation</t>
        </is>
      </c>
      <c r="AN277" t="inlineStr">
        <is>
          <t>https://whc.unesco.org/en/search/?searchterm=Viracocha+flood+traditions+translation</t>
        </is>
      </c>
      <c r="AO277" t="inlineStr">
        <is>
          <t>1) Fact base: Internet Archive. 2) Translation/text: Internet Archive. 3) Images/objects: UNESCO. 4) Context/explanation: UNESCO. 5) Geography/maps: UNESCO. Use Suggested_Search_Term inside each portal.</t>
        </is>
      </c>
      <c r="AP277" t="inlineStr">
        <is>
          <t>Mixed: direct portal homepages plus search-result URLs where the portal exposes a public search endpoint.</t>
        </is>
      </c>
    </row>
    <row r="278">
      <c r="A278" s="2" t="n">
        <v>277</v>
      </c>
      <c r="B278" s="7" t="inlineStr">
        <is>
          <t>Later_witness_or_post_1AD_relevance</t>
        </is>
      </c>
      <c r="C278" s="2" t="inlineStr">
        <is>
          <t>North America / Oceania</t>
        </is>
      </c>
      <c r="D278" s="2" t="inlineStr">
        <is>
          <t>Aboriginal Australian traditions</t>
        </is>
      </c>
      <c r="E278" s="2" t="n">
        <v>1</v>
      </c>
      <c r="F278" s="2" t="n">
        <v>1900</v>
      </c>
      <c r="G278" s="2" t="inlineStr">
        <is>
          <t>Later recordings of ancient oral tradition</t>
        </is>
      </c>
      <c r="H278" s="2" t="inlineStr">
        <is>
          <t>Dreaming / Dreamtime songlines</t>
        </is>
      </c>
      <c r="I278" s="2" t="inlineStr">
        <is>
          <t>Oral tradition</t>
        </is>
      </c>
      <c r="J278" s="2" t="inlineStr">
        <is>
          <t>oral performance later recorded</t>
        </is>
      </c>
      <c r="K278" s="2" t="inlineStr">
        <is>
          <t>creation</t>
        </is>
      </c>
      <c r="L278" s="2" t="inlineStr">
        <is>
          <t>sacred geography</t>
        </is>
      </c>
      <c r="M278" s="2" t="inlineStr">
        <is>
          <t>Australia</t>
        </is>
      </c>
      <c r="N278" s="2" t="inlineStr">
        <is>
          <t>Australia</t>
        </is>
      </c>
      <c r="O278" s="2" t="inlineStr">
        <is>
          <t>Networks of oral tradition linking ancestral beings, places, law, and routes across landscape.</t>
        </is>
      </c>
      <c r="P278" s="2" t="inlineStr">
        <is>
          <t>Among the world’s most important oral cosmology systems, though recorded much later than BCE.</t>
        </is>
      </c>
      <c r="Q278" s="2" t="inlineStr">
        <is>
          <t>High</t>
        </is>
      </c>
      <c r="R278" s="2" t="inlineStr">
        <is>
          <t>Translated in collections</t>
        </is>
      </c>
      <c r="S278" s="2" t="inlineStr">
        <is>
          <t>Medium</t>
        </is>
      </c>
      <c r="T278" s="2" t="inlineStr">
        <is>
          <t>AIATSIS</t>
        </is>
      </c>
      <c r="U278" s="8" t="inlineStr">
        <is>
          <t>https://aiatsis.gov.au/</t>
        </is>
      </c>
      <c r="V278" s="2" t="inlineStr">
        <is>
          <t>Internet Archive</t>
        </is>
      </c>
      <c r="W278" s="8" t="inlineStr">
        <is>
          <t>https://archive.org/</t>
        </is>
      </c>
      <c r="X278" s="2" t="inlineStr">
        <is>
          <t>AIATSIS</t>
        </is>
      </c>
      <c r="Y278" s="8" t="inlineStr">
        <is>
          <t>https://aiatsis.gov.au/</t>
        </is>
      </c>
      <c r="Z278" s="2" t="inlineStr">
        <is>
          <t>UNESCO</t>
        </is>
      </c>
      <c r="AA278" s="8" t="inlineStr">
        <is>
          <t>https://whc.unesco.org/</t>
        </is>
      </c>
      <c r="AB278" s="2" t="inlineStr">
        <is>
          <t>UNESCO</t>
        </is>
      </c>
      <c r="AC278" s="8" t="inlineStr">
        <is>
          <t>https://whc.unesco.org/</t>
        </is>
      </c>
      <c r="AD278" s="2" t="inlineStr">
        <is>
          <t>Dreaming songlines AIATSIS</t>
        </is>
      </c>
      <c r="AE278" s="2" t="inlineStr">
        <is>
          <t>Treat as living Indigenous knowledge, not free-floating myth data.</t>
        </is>
      </c>
      <c r="AF278" s="2" t="inlineStr">
        <is>
          <t>Sacred geography; ancestral law</t>
        </is>
      </c>
      <c r="AG278" s="2" t="inlineStr">
        <is>
          <t>Critical</t>
        </is>
      </c>
      <c r="AH278" s="2" t="inlineStr">
        <is>
          <t>High</t>
        </is>
      </c>
      <c r="AI278" s="2" t="inlineStr"/>
      <c r="AJ278" t="inlineStr">
        <is>
          <t>https://aiatsis.gov.au/</t>
        </is>
      </c>
      <c r="AK278" t="inlineStr">
        <is>
          <t>https://archive.org/search?query=Dreaming+songlines+AIATSIS</t>
        </is>
      </c>
      <c r="AL278" t="inlineStr">
        <is>
          <t>https://aiatsis.gov.au/</t>
        </is>
      </c>
      <c r="AM278" t="inlineStr">
        <is>
          <t>https://whc.unesco.org/en/search/?searchterm=Dreaming+songlines+AIATSIS</t>
        </is>
      </c>
      <c r="AN278" t="inlineStr">
        <is>
          <t>https://whc.unesco.org/en/search/?searchterm=Dreaming+songlines+AIATSIS</t>
        </is>
      </c>
      <c r="AO278" t="inlineStr">
        <is>
          <t>1) Fact base: AIATSIS. 2) Translation/text: Internet Archive. 3) Images/objects: AIATSIS. 4) Context/explanation: UNESCO. 5) Geography/maps: UNESCO. Use Suggested_Search_Term inside each portal.</t>
        </is>
      </c>
      <c r="AP278" t="inlineStr">
        <is>
          <t>Mixed: direct portal homepages plus search-result URLs where the portal exposes a public search endpoint.</t>
        </is>
      </c>
    </row>
    <row r="279">
      <c r="A279" s="2" t="n">
        <v>278</v>
      </c>
      <c r="B279" s="7" t="inlineStr">
        <is>
          <t>Later_witness_or_post_1AD_relevance</t>
        </is>
      </c>
      <c r="C279" s="2" t="inlineStr">
        <is>
          <t>North America / Oceania</t>
        </is>
      </c>
      <c r="D279" s="2" t="inlineStr">
        <is>
          <t>Kimberley tradition</t>
        </is>
      </c>
      <c r="E279" s="2" t="n">
        <v>1</v>
      </c>
      <c r="F279" s="2" t="n">
        <v>1900</v>
      </c>
      <c r="G279" s="2" t="inlineStr">
        <is>
          <t>Later recordings of older tradition</t>
        </is>
      </c>
      <c r="H279" s="2" t="inlineStr">
        <is>
          <t>Wandjina traditions</t>
        </is>
      </c>
      <c r="I279" s="2" t="inlineStr">
        <is>
          <t>Oral tradition + rock art</t>
        </is>
      </c>
      <c r="J279" s="2" t="inlineStr">
        <is>
          <t>oral tradition + paintings</t>
        </is>
      </c>
      <c r="K279" s="2" t="inlineStr">
        <is>
          <t>sky beings</t>
        </is>
      </c>
      <c r="L279" s="2" t="inlineStr">
        <is>
          <t>rain / law</t>
        </is>
      </c>
      <c r="M279" s="2" t="inlineStr">
        <is>
          <t>Australia</t>
        </is>
      </c>
      <c r="N279" s="2" t="inlineStr">
        <is>
          <t>Kimberley</t>
        </is>
      </c>
      <c r="O279" s="2" t="inlineStr">
        <is>
          <t>Rock art and associated oral traditions relating to Wandjina ancestral beings.</t>
        </is>
      </c>
      <c r="P279" s="2" t="inlineStr">
        <is>
          <t>Commonly cited in ancient-astronaut discourse; factual treatment must stay with community traditions and rock art context.</t>
        </is>
      </c>
      <c r="Q279" s="2" t="inlineStr">
        <is>
          <t>High</t>
        </is>
      </c>
      <c r="R279" s="2" t="inlineStr">
        <is>
          <t>Translated in collections</t>
        </is>
      </c>
      <c r="S279" s="2" t="inlineStr">
        <is>
          <t>Yes</t>
        </is>
      </c>
      <c r="T279" s="2" t="inlineStr">
        <is>
          <t>AIATSIS</t>
        </is>
      </c>
      <c r="U279" s="8" t="inlineStr">
        <is>
          <t>https://aiatsis.gov.au/</t>
        </is>
      </c>
      <c r="V279" s="2" t="inlineStr">
        <is>
          <t>Internet Archive</t>
        </is>
      </c>
      <c r="W279" s="8" t="inlineStr">
        <is>
          <t>https://archive.org/</t>
        </is>
      </c>
      <c r="X279" s="2" t="inlineStr">
        <is>
          <t>AIATSIS</t>
        </is>
      </c>
      <c r="Y279" s="8" t="inlineStr">
        <is>
          <t>https://aiatsis.gov.au/</t>
        </is>
      </c>
      <c r="Z279" s="2" t="inlineStr">
        <is>
          <t>UNESCO</t>
        </is>
      </c>
      <c r="AA279" s="8" t="inlineStr">
        <is>
          <t>https://whc.unesco.org/</t>
        </is>
      </c>
      <c r="AB279" s="2" t="inlineStr">
        <is>
          <t>UNESCO</t>
        </is>
      </c>
      <c r="AC279" s="8" t="inlineStr">
        <is>
          <t>https://whc.unesco.org/</t>
        </is>
      </c>
      <c r="AD279" s="2" t="inlineStr">
        <is>
          <t>Wandjina oral tradition rock art</t>
        </is>
      </c>
      <c r="AE279" s="2" t="inlineStr">
        <is>
          <t>Later witness plus rock art; avoid sensational reinterpretation.</t>
        </is>
      </c>
      <c r="AF279" s="2" t="inlineStr">
        <is>
          <t>Sky-being rhetoric; oral cosmology</t>
        </is>
      </c>
      <c r="AG279" s="2" t="inlineStr">
        <is>
          <t>High</t>
        </is>
      </c>
      <c r="AH279" s="2" t="inlineStr">
        <is>
          <t>High</t>
        </is>
      </c>
      <c r="AI279" s="2" t="inlineStr"/>
      <c r="AJ279" t="inlineStr">
        <is>
          <t>https://aiatsis.gov.au/</t>
        </is>
      </c>
      <c r="AK279" t="inlineStr">
        <is>
          <t>https://archive.org/search?query=Wandjina+oral+tradition+rock+art</t>
        </is>
      </c>
      <c r="AL279" t="inlineStr">
        <is>
          <t>https://aiatsis.gov.au/</t>
        </is>
      </c>
      <c r="AM279" t="inlineStr">
        <is>
          <t>https://whc.unesco.org/en/search/?searchterm=Wandjina+oral+tradition+rock+art</t>
        </is>
      </c>
      <c r="AN279" t="inlineStr">
        <is>
          <t>https://whc.unesco.org/en/search/?searchterm=Wandjina+oral+tradition+rock+art</t>
        </is>
      </c>
      <c r="AO279" t="inlineStr">
        <is>
          <t>1) Fact base: AIATSIS. 2) Translation/text: Internet Archive. 3) Images/objects: AIATSIS. 4) Context/explanation: UNESCO. 5) Geography/maps: UNESCO. Use Suggested_Search_Term inside each portal.</t>
        </is>
      </c>
      <c r="AP279" t="inlineStr">
        <is>
          <t>Mixed: direct portal homepages plus search-result URLs where the portal exposes a public search endpoint.</t>
        </is>
      </c>
    </row>
    <row r="280">
      <c r="A280" s="2" t="n">
        <v>279</v>
      </c>
      <c r="B280" s="7" t="inlineStr">
        <is>
          <t>BCE_to_1AD</t>
        </is>
      </c>
      <c r="C280" s="2" t="inlineStr">
        <is>
          <t>Africa (outside Egypt)</t>
        </is>
      </c>
      <c r="D280" s="2" t="inlineStr">
        <is>
          <t>Saharan prehistoric</t>
        </is>
      </c>
      <c r="E280" s="2" t="n">
        <v>-6000</v>
      </c>
      <c r="F280" s="2" t="n">
        <v>-1000</v>
      </c>
      <c r="G280" s="2" t="inlineStr">
        <is>
          <t>Prehistoric Sahara</t>
        </is>
      </c>
      <c r="H280" s="2" t="inlineStr">
        <is>
          <t>Tassili n’Ajjer rock art</t>
        </is>
      </c>
      <c r="I280" s="2" t="inlineStr">
        <is>
          <t>Artifact corpus</t>
        </is>
      </c>
      <c r="J280" s="2" t="inlineStr">
        <is>
          <t>rock paintings and engravings</t>
        </is>
      </c>
      <c r="K280" s="2" t="inlineStr">
        <is>
          <t>ritual imagery</t>
        </is>
      </c>
      <c r="L280" s="2" t="inlineStr">
        <is>
          <t>pastoral cosmology</t>
        </is>
      </c>
      <c r="M280" s="2" t="inlineStr">
        <is>
          <t>Algeria</t>
        </is>
      </c>
      <c r="N280" s="2" t="inlineStr">
        <is>
          <t>Central Sahara</t>
        </is>
      </c>
      <c r="O280" s="2" t="inlineStr">
        <is>
          <t>Large corpus of prehistoric rock art documenting fauna, people, ritual postures, and changing ecologies.</t>
        </is>
      </c>
      <c r="P280" s="2" t="inlineStr">
        <is>
          <t>Frequently mined by alternative-history media; factual use should stay visual and chronological.</t>
        </is>
      </c>
      <c r="Q280" s="2" t="inlineStr">
        <is>
          <t>High</t>
        </is>
      </c>
      <c r="R280" s="2" t="inlineStr">
        <is>
          <t>No</t>
        </is>
      </c>
      <c r="S280" s="2" t="inlineStr">
        <is>
          <t>Yes</t>
        </is>
      </c>
      <c r="T280" s="2" t="inlineStr">
        <is>
          <t>UNESCO</t>
        </is>
      </c>
      <c r="U280" s="8" t="inlineStr">
        <is>
          <t>https://whc.unesco.org/</t>
        </is>
      </c>
      <c r="V280" s="2" t="inlineStr">
        <is>
          <t>UNESCO</t>
        </is>
      </c>
      <c r="W280" s="8" t="inlineStr">
        <is>
          <t>https://whc.unesco.org/</t>
        </is>
      </c>
      <c r="X280" s="2" t="inlineStr">
        <is>
          <t>UNESCO</t>
        </is>
      </c>
      <c r="Y280" s="8" t="inlineStr">
        <is>
          <t>https://whc.unesco.org/</t>
        </is>
      </c>
      <c r="Z280" s="2" t="inlineStr">
        <is>
          <t>UNESCO</t>
        </is>
      </c>
      <c r="AA280" s="8" t="inlineStr">
        <is>
          <t>https://whc.unesco.org/</t>
        </is>
      </c>
      <c r="AB280" s="2" t="inlineStr">
        <is>
          <t>UNESCO</t>
        </is>
      </c>
      <c r="AC280" s="8" t="inlineStr">
        <is>
          <t>https://whc.unesco.org/</t>
        </is>
      </c>
      <c r="AD280" s="2" t="inlineStr">
        <is>
          <t>Tassili rock art archaeology</t>
        </is>
      </c>
      <c r="AE280" s="2" t="inlineStr">
        <is>
          <t>No direct translation issue because it is non-textual.</t>
        </is>
      </c>
      <c r="AF280" s="2" t="inlineStr">
        <is>
          <t>Rock art cosmology; sky-beings rhetoric</t>
        </is>
      </c>
      <c r="AG280" s="2" t="inlineStr">
        <is>
          <t>High</t>
        </is>
      </c>
      <c r="AH280" s="2" t="inlineStr">
        <is>
          <t>Medium</t>
        </is>
      </c>
      <c r="AI280" s="2" t="inlineStr"/>
      <c r="AJ280" t="inlineStr">
        <is>
          <t>https://whc.unesco.org/en/search/?searchterm=Tassili+rock+art+archaeology</t>
        </is>
      </c>
      <c r="AK280" t="inlineStr">
        <is>
          <t>https://whc.unesco.org/en/search/?searchterm=Tassili+rock+art+archaeology</t>
        </is>
      </c>
      <c r="AL280" t="inlineStr">
        <is>
          <t>https://whc.unesco.org/en/search/?searchterm=Tassili+rock+art+archaeology</t>
        </is>
      </c>
      <c r="AM280" t="inlineStr">
        <is>
          <t>https://whc.unesco.org/en/search/?searchterm=Tassili+rock+art+archaeology</t>
        </is>
      </c>
      <c r="AN280" t="inlineStr">
        <is>
          <t>https://whc.unesco.org/en/search/?searchterm=Tassili+rock+art+archaeology</t>
        </is>
      </c>
      <c r="AO280" t="inlineStr">
        <is>
          <t>1) Fact base: UNESCO. 2) Translation/text: UNESCO. 3) Images/objects: UNESCO. 4) Context/explanation: UNESCO. 5) Geography/maps: UNESCO. Use Suggested_Search_Term inside each portal.</t>
        </is>
      </c>
      <c r="AP280" t="inlineStr">
        <is>
          <t>Mixed: direct portal homepages plus search-result URLs where the portal exposes a public search endpoint.</t>
        </is>
      </c>
    </row>
  </sheetData>
  <conditionalFormatting sqref="AG2:AG222">
    <cfRule type="cellIs" priority="1" operator="equal" dxfId="0">
      <formula>"Critical"</formula>
    </cfRule>
  </conditionalFormatting>
  <conditionalFormatting sqref="Q2:Q222">
    <cfRule type="cellIs" priority="2" operator="equal" dxfId="1">
      <formula>"High"</formula>
    </cfRule>
  </conditionalFormatting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52" customWidth="1" min="3" max="3"/>
    <col width="18" customWidth="1" min="4" max="4"/>
    <col width="14" customWidth="1" min="5" max="5"/>
    <col width="22" customWidth="1" min="6" max="6"/>
    <col width="18" customWidth="1" min="7" max="7"/>
    <col width="38" customWidth="1" min="8" max="8"/>
  </cols>
  <sheetData>
    <row r="1">
      <c r="A1" s="10" t="inlineStr">
        <is>
          <t>Portal_Name</t>
        </is>
      </c>
      <c r="B1" s="10" t="inlineStr">
        <is>
          <t>Coverage</t>
        </is>
      </c>
      <c r="C1" s="10" t="inlineStr">
        <is>
          <t>Best_For</t>
        </is>
      </c>
      <c r="D1" s="10" t="inlineStr">
        <is>
          <t>Translation_Strength</t>
        </is>
      </c>
      <c r="E1" s="10" t="inlineStr">
        <is>
          <t>Image_Strength</t>
        </is>
      </c>
      <c r="F1" s="10" t="inlineStr">
        <is>
          <t>Artifact_Record_Strength</t>
        </is>
      </c>
      <c r="G1" s="10" t="inlineStr">
        <is>
          <t>Map_Site_Strength</t>
        </is>
      </c>
      <c r="H1" s="10" t="inlineStr">
        <is>
          <t>URL</t>
        </is>
      </c>
    </row>
    <row r="2">
      <c r="A2" s="2" t="inlineStr">
        <is>
          <t>ORACC</t>
        </is>
      </c>
      <c r="B2" s="2" t="inlineStr">
        <is>
          <t>Mesopotamian cuneiform texts</t>
        </is>
      </c>
      <c r="C2" s="2" t="inlineStr">
        <is>
          <t>annotated transliterations, translations, corpora search</t>
        </is>
      </c>
      <c r="D2" s="2" t="inlineStr">
        <is>
          <t>High</t>
        </is>
      </c>
      <c r="E2" s="2" t="inlineStr">
        <is>
          <t>Medium</t>
        </is>
      </c>
      <c r="F2" s="2" t="inlineStr">
        <is>
          <t>Low</t>
        </is>
      </c>
      <c r="G2" s="2" t="inlineStr">
        <is>
          <t>Low</t>
        </is>
      </c>
      <c r="H2" s="8" t="inlineStr">
        <is>
          <t>https://oracc.museum.upenn.edu/</t>
        </is>
      </c>
    </row>
    <row r="3">
      <c r="A3" s="2" t="inlineStr">
        <is>
          <t>ETCSL</t>
        </is>
      </c>
      <c r="B3" s="2" t="inlineStr">
        <is>
          <t>Sumerian literary texts</t>
        </is>
      </c>
      <c r="C3" s="2" t="inlineStr">
        <is>
          <t>English translations + transliterations of Sumerian literature</t>
        </is>
      </c>
      <c r="D3" s="2" t="inlineStr">
        <is>
          <t>High</t>
        </is>
      </c>
      <c r="E3" s="2" t="inlineStr">
        <is>
          <t>Low</t>
        </is>
      </c>
      <c r="F3" s="2" t="inlineStr">
        <is>
          <t>Low</t>
        </is>
      </c>
      <c r="G3" s="2" t="inlineStr">
        <is>
          <t>Low</t>
        </is>
      </c>
      <c r="H3" s="8" t="inlineStr">
        <is>
          <t>https://etcsl.orinst.ox.ac.uk/</t>
        </is>
      </c>
    </row>
    <row r="4">
      <c r="A4" s="2" t="inlineStr">
        <is>
          <t>TLA</t>
        </is>
      </c>
      <c r="B4" s="2" t="inlineStr">
        <is>
          <t>Egyptian texts</t>
        </is>
      </c>
      <c r="C4" s="2" t="inlineStr">
        <is>
          <t>Egyptian text corpus, transliterations, lemmas</t>
        </is>
      </c>
      <c r="D4" s="2" t="inlineStr">
        <is>
          <t>High</t>
        </is>
      </c>
      <c r="E4" s="2" t="inlineStr">
        <is>
          <t>Medium</t>
        </is>
      </c>
      <c r="F4" s="2" t="inlineStr">
        <is>
          <t>Low</t>
        </is>
      </c>
      <c r="G4" s="2" t="inlineStr">
        <is>
          <t>Low</t>
        </is>
      </c>
      <c r="H4" s="8" t="inlineStr">
        <is>
          <t>https://thesaurus-linguae-aegyptiae.de/</t>
        </is>
      </c>
    </row>
    <row r="5">
      <c r="A5" s="2" t="inlineStr">
        <is>
          <t>Papyri.info</t>
        </is>
      </c>
      <c r="B5" s="2" t="inlineStr">
        <is>
          <t>Greek, Demotic, Coptic, Egyptian and documentary papyri</t>
        </is>
      </c>
      <c r="C5" s="2" t="inlineStr">
        <is>
          <t>texts, metadata, commentary, images</t>
        </is>
      </c>
      <c r="D5" s="2" t="inlineStr">
        <is>
          <t>Medium</t>
        </is>
      </c>
      <c r="E5" s="2" t="inlineStr">
        <is>
          <t>High</t>
        </is>
      </c>
      <c r="F5" s="2" t="inlineStr">
        <is>
          <t>Medium</t>
        </is>
      </c>
      <c r="G5" s="2" t="inlineStr">
        <is>
          <t>Low</t>
        </is>
      </c>
      <c r="H5" s="8" t="inlineStr">
        <is>
          <t>https://papyri.info/</t>
        </is>
      </c>
    </row>
    <row r="6">
      <c r="A6" s="2" t="inlineStr">
        <is>
          <t>UCL Digital Egypt</t>
        </is>
      </c>
      <c r="B6" s="2" t="inlineStr">
        <is>
          <t>Egyptian civilization overviews</t>
        </is>
      </c>
      <c r="C6" s="2" t="inlineStr">
        <is>
          <t>accessible context + object explanations</t>
        </is>
      </c>
      <c r="D6" s="2" t="inlineStr">
        <is>
          <t>Medium</t>
        </is>
      </c>
      <c r="E6" s="2" t="inlineStr">
        <is>
          <t>Medium</t>
        </is>
      </c>
      <c r="F6" s="2" t="inlineStr">
        <is>
          <t>Medium</t>
        </is>
      </c>
      <c r="G6" s="2" t="inlineStr">
        <is>
          <t>Low</t>
        </is>
      </c>
      <c r="H6" s="8" t="inlineStr">
        <is>
          <t>https://www.ucl.ac.uk/museums-static/digitalegypt/</t>
        </is>
      </c>
    </row>
    <row r="7">
      <c r="A7" s="2" t="inlineStr">
        <is>
          <t>Sefaria</t>
        </is>
      </c>
      <c r="B7" s="2" t="inlineStr">
        <is>
          <t>Hebrew Bible and Jewish literature</t>
        </is>
      </c>
      <c r="C7" s="2" t="inlineStr">
        <is>
          <t>Hebrew + English texts</t>
        </is>
      </c>
      <c r="D7" s="2" t="inlineStr">
        <is>
          <t>High</t>
        </is>
      </c>
      <c r="E7" s="2" t="inlineStr">
        <is>
          <t>Low</t>
        </is>
      </c>
      <c r="F7" s="2" t="inlineStr">
        <is>
          <t>Low</t>
        </is>
      </c>
      <c r="G7" s="2" t="inlineStr">
        <is>
          <t>Low</t>
        </is>
      </c>
      <c r="H7" s="8" t="inlineStr">
        <is>
          <t>https://www.sefaria.org/</t>
        </is>
      </c>
    </row>
    <row r="8">
      <c r="A8" s="2" t="inlineStr">
        <is>
          <t>Leon Levy Dead Sea Scrolls</t>
        </is>
      </c>
      <c r="B8" s="2" t="inlineStr">
        <is>
          <t>Dead Sea Scroll fragments</t>
        </is>
      </c>
      <c r="C8" s="2" t="inlineStr">
        <is>
          <t>high-resolution manuscript images + metadata</t>
        </is>
      </c>
      <c r="D8" s="2" t="inlineStr">
        <is>
          <t>Medium</t>
        </is>
      </c>
      <c r="E8" s="2" t="inlineStr">
        <is>
          <t>High</t>
        </is>
      </c>
      <c r="F8" s="2" t="inlineStr">
        <is>
          <t>Low</t>
        </is>
      </c>
      <c r="G8" s="2" t="inlineStr">
        <is>
          <t>Low</t>
        </is>
      </c>
      <c r="H8" s="8" t="inlineStr">
        <is>
          <t>https://www.deadseascrolls.org.il/</t>
        </is>
      </c>
    </row>
    <row r="9">
      <c r="A9" s="2" t="inlineStr">
        <is>
          <t>Perseus</t>
        </is>
      </c>
      <c r="B9" s="2" t="inlineStr">
        <is>
          <t>Greek and Latin texts</t>
        </is>
      </c>
      <c r="C9" s="2" t="inlineStr">
        <is>
          <t>primary texts, translations, references</t>
        </is>
      </c>
      <c r="D9" s="2" t="inlineStr">
        <is>
          <t>High</t>
        </is>
      </c>
      <c r="E9" s="2" t="inlineStr">
        <is>
          <t>Low</t>
        </is>
      </c>
      <c r="F9" s="2" t="inlineStr">
        <is>
          <t>Low</t>
        </is>
      </c>
      <c r="G9" s="2" t="inlineStr">
        <is>
          <t>Low</t>
        </is>
      </c>
      <c r="H9" s="8" t="inlineStr">
        <is>
          <t>https://www.perseus.tufts.edu/hopper/</t>
        </is>
      </c>
    </row>
    <row r="10">
      <c r="A10" s="2" t="inlineStr">
        <is>
          <t>Chinese Text Project</t>
        </is>
      </c>
      <c r="B10" s="2" t="inlineStr">
        <is>
          <t>Classical Chinese texts</t>
        </is>
      </c>
      <c r="C10" s="2" t="inlineStr">
        <is>
          <t>searchable transmitted texts and tools</t>
        </is>
      </c>
      <c r="D10" s="2" t="inlineStr">
        <is>
          <t>High</t>
        </is>
      </c>
      <c r="E10" s="2" t="inlineStr">
        <is>
          <t>Low</t>
        </is>
      </c>
      <c r="F10" s="2" t="inlineStr">
        <is>
          <t>Low</t>
        </is>
      </c>
      <c r="G10" s="2" t="inlineStr">
        <is>
          <t>Low</t>
        </is>
      </c>
      <c r="H10" s="8" t="inlineStr">
        <is>
          <t>https://ctext.org/</t>
        </is>
      </c>
    </row>
    <row r="11">
      <c r="A11" s="2" t="inlineStr">
        <is>
          <t>FAMSI</t>
        </is>
      </c>
      <c r="B11" s="2" t="inlineStr">
        <is>
          <t>Mesoamerican codices and inscriptions</t>
        </is>
      </c>
      <c r="C11" s="2" t="inlineStr">
        <is>
          <t>codex facsimiles, commentary, scripts</t>
        </is>
      </c>
      <c r="D11" s="2" t="inlineStr">
        <is>
          <t>Medium</t>
        </is>
      </c>
      <c r="E11" s="2" t="inlineStr">
        <is>
          <t>High</t>
        </is>
      </c>
      <c r="F11" s="2" t="inlineStr">
        <is>
          <t>Medium</t>
        </is>
      </c>
      <c r="G11" s="2" t="inlineStr">
        <is>
          <t>Low</t>
        </is>
      </c>
      <c r="H11" s="8" t="inlineStr">
        <is>
          <t>https://www.famsi.org/</t>
        </is>
      </c>
    </row>
    <row r="12">
      <c r="A12" s="2" t="inlineStr">
        <is>
          <t>Smithsonian Open Access</t>
        </is>
      </c>
      <c r="B12" s="2" t="inlineStr">
        <is>
          <t>Global artifacts and images</t>
        </is>
      </c>
      <c r="C12" s="2" t="inlineStr">
        <is>
          <t>open-access object images and metadata</t>
        </is>
      </c>
      <c r="D12" s="2" t="inlineStr">
        <is>
          <t>Low</t>
        </is>
      </c>
      <c r="E12" s="2" t="inlineStr">
        <is>
          <t>High</t>
        </is>
      </c>
      <c r="F12" s="2" t="inlineStr">
        <is>
          <t>High</t>
        </is>
      </c>
      <c r="G12" s="2" t="inlineStr">
        <is>
          <t>Low</t>
        </is>
      </c>
      <c r="H12" s="8" t="inlineStr">
        <is>
          <t>https://www.si.edu/openaccess</t>
        </is>
      </c>
    </row>
    <row r="13">
      <c r="A13" s="2" t="inlineStr">
        <is>
          <t>British Museum Collection</t>
        </is>
      </c>
      <c r="B13" s="2" t="inlineStr">
        <is>
          <t>Global ancient artifacts</t>
        </is>
      </c>
      <c r="C13" s="2" t="inlineStr">
        <is>
          <t>museum object records and many images</t>
        </is>
      </c>
      <c r="D13" s="2" t="inlineStr">
        <is>
          <t>Low</t>
        </is>
      </c>
      <c r="E13" s="2" t="inlineStr">
        <is>
          <t>High</t>
        </is>
      </c>
      <c r="F13" s="2" t="inlineStr">
        <is>
          <t>High</t>
        </is>
      </c>
      <c r="G13" s="2" t="inlineStr">
        <is>
          <t>Low</t>
        </is>
      </c>
      <c r="H13" s="8" t="inlineStr">
        <is>
          <t>https://www.britishmuseum.org/collection</t>
        </is>
      </c>
    </row>
    <row r="14">
      <c r="A14" s="2" t="inlineStr">
        <is>
          <t>Louvre Collections</t>
        </is>
      </c>
      <c r="B14" s="2" t="inlineStr">
        <is>
          <t>Global ancient artifacts</t>
        </is>
      </c>
      <c r="C14" s="2" t="inlineStr">
        <is>
          <t>museum object records and images</t>
        </is>
      </c>
      <c r="D14" s="2" t="inlineStr">
        <is>
          <t>Low</t>
        </is>
      </c>
      <c r="E14" s="2" t="inlineStr">
        <is>
          <t>High</t>
        </is>
      </c>
      <c r="F14" s="2" t="inlineStr">
        <is>
          <t>High</t>
        </is>
      </c>
      <c r="G14" s="2" t="inlineStr">
        <is>
          <t>Low</t>
        </is>
      </c>
      <c r="H14" s="8" t="inlineStr">
        <is>
          <t>https://collections.louvre.fr/</t>
        </is>
      </c>
    </row>
    <row r="15">
      <c r="A15" s="2" t="inlineStr">
        <is>
          <t>Met Collection</t>
        </is>
      </c>
      <c r="B15" s="2" t="inlineStr">
        <is>
          <t>Global ancient artifacts</t>
        </is>
      </c>
      <c r="C15" s="2" t="inlineStr">
        <is>
          <t>museum object records and images</t>
        </is>
      </c>
      <c r="D15" s="2" t="inlineStr">
        <is>
          <t>Low</t>
        </is>
      </c>
      <c r="E15" s="2" t="inlineStr">
        <is>
          <t>High</t>
        </is>
      </c>
      <c r="F15" s="2" t="inlineStr">
        <is>
          <t>High</t>
        </is>
      </c>
      <c r="G15" s="2" t="inlineStr">
        <is>
          <t>Low</t>
        </is>
      </c>
      <c r="H15" s="8" t="inlineStr">
        <is>
          <t>https://www.metmuseum.org/art/collection</t>
        </is>
      </c>
    </row>
    <row r="16">
      <c r="A16" s="2" t="inlineStr">
        <is>
          <t>UNESCO</t>
        </is>
      </c>
      <c r="B16" s="2" t="inlineStr">
        <is>
          <t>Sites and official summaries</t>
        </is>
      </c>
      <c r="C16" s="2" t="inlineStr">
        <is>
          <t>authoritative site context and chronology</t>
        </is>
      </c>
      <c r="D16" s="2" t="inlineStr">
        <is>
          <t>Low</t>
        </is>
      </c>
      <c r="E16" s="2" t="inlineStr">
        <is>
          <t>Medium</t>
        </is>
      </c>
      <c r="F16" s="2" t="inlineStr">
        <is>
          <t>Low</t>
        </is>
      </c>
      <c r="G16" s="2" t="inlineStr">
        <is>
          <t>High</t>
        </is>
      </c>
      <c r="H16" s="8" t="inlineStr">
        <is>
          <t>https://whc.unesco.org/</t>
        </is>
      </c>
    </row>
    <row r="17">
      <c r="A17" s="2" t="inlineStr">
        <is>
          <t>Pleiades</t>
        </is>
      </c>
      <c r="B17" s="2" t="inlineStr">
        <is>
          <t>Ancient Mediterranean geography</t>
        </is>
      </c>
      <c r="C17" s="2" t="inlineStr">
        <is>
          <t>ancient place gazetteer + map context</t>
        </is>
      </c>
      <c r="D17" s="2" t="inlineStr">
        <is>
          <t>Low</t>
        </is>
      </c>
      <c r="E17" s="2" t="inlineStr">
        <is>
          <t>Low</t>
        </is>
      </c>
      <c r="F17" s="2" t="inlineStr">
        <is>
          <t>Low</t>
        </is>
      </c>
      <c r="G17" s="2" t="inlineStr">
        <is>
          <t>High</t>
        </is>
      </c>
      <c r="H17" s="8" t="inlineStr">
        <is>
          <t>https://pleiades.stoa.org/</t>
        </is>
      </c>
    </row>
    <row r="18">
      <c r="A18" s="2" t="inlineStr">
        <is>
          <t>Open Context</t>
        </is>
      </c>
      <c r="B18" s="2" t="inlineStr">
        <is>
          <t>Archaeological datasets</t>
        </is>
      </c>
      <c r="C18" s="2" t="inlineStr">
        <is>
          <t>field datasets and linked archaeology</t>
        </is>
      </c>
      <c r="D18" s="2" t="inlineStr">
        <is>
          <t>Low</t>
        </is>
      </c>
      <c r="E18" s="2" t="inlineStr">
        <is>
          <t>Medium</t>
        </is>
      </c>
      <c r="F18" s="2" t="inlineStr">
        <is>
          <t>Medium</t>
        </is>
      </c>
      <c r="G18" s="2" t="inlineStr">
        <is>
          <t>Medium</t>
        </is>
      </c>
      <c r="H18" s="8" t="inlineStr">
        <is>
          <t>https://opencontext.org/</t>
        </is>
      </c>
    </row>
    <row r="19">
      <c r="A19" s="2" t="inlineStr">
        <is>
          <t>GRETIL</t>
        </is>
      </c>
      <c r="B19" s="2" t="inlineStr">
        <is>
          <t>Sanskrit and Indic texts</t>
        </is>
      </c>
      <c r="C19" s="2" t="inlineStr">
        <is>
          <t>source texts and some translations</t>
        </is>
      </c>
      <c r="D19" s="2" t="inlineStr">
        <is>
          <t>Medium</t>
        </is>
      </c>
      <c r="E19" s="2" t="inlineStr">
        <is>
          <t>Low</t>
        </is>
      </c>
      <c r="F19" s="2" t="inlineStr">
        <is>
          <t>Low</t>
        </is>
      </c>
      <c r="G19" s="2" t="inlineStr">
        <is>
          <t>Low</t>
        </is>
      </c>
      <c r="H19" s="8" t="inlineStr">
        <is>
          <t>https://gretil.sub.uni-goettingen.de/gretil.html</t>
        </is>
      </c>
    </row>
    <row r="20">
      <c r="A20" s="2" t="inlineStr">
        <is>
          <t>Wisdom Library</t>
        </is>
      </c>
      <c r="B20" s="2" t="inlineStr">
        <is>
          <t>Indic texts and summaries</t>
        </is>
      </c>
      <c r="C20" s="2" t="inlineStr">
        <is>
          <t>readable English translations and topic pages</t>
        </is>
      </c>
      <c r="D20" s="2" t="inlineStr">
        <is>
          <t>Medium</t>
        </is>
      </c>
      <c r="E20" s="2" t="inlineStr">
        <is>
          <t>Low</t>
        </is>
      </c>
      <c r="F20" s="2" t="inlineStr">
        <is>
          <t>Low</t>
        </is>
      </c>
      <c r="G20" s="2" t="inlineStr">
        <is>
          <t>Low</t>
        </is>
      </c>
      <c r="H20" s="8" t="inlineStr">
        <is>
          <t>https://www.wisdomlib.org/</t>
        </is>
      </c>
    </row>
    <row r="21">
      <c r="A21" s="2" t="inlineStr">
        <is>
          <t>SuttaCentral</t>
        </is>
      </c>
      <c r="B21" s="2" t="inlineStr">
        <is>
          <t>Early Buddhist texts</t>
        </is>
      </c>
      <c r="C21" s="2" t="inlineStr">
        <is>
          <t>parallel translations and canon navigation</t>
        </is>
      </c>
      <c r="D21" s="2" t="inlineStr">
        <is>
          <t>High</t>
        </is>
      </c>
      <c r="E21" s="2" t="inlineStr">
        <is>
          <t>Low</t>
        </is>
      </c>
      <c r="F21" s="2" t="inlineStr">
        <is>
          <t>Low</t>
        </is>
      </c>
      <c r="G21" s="2" t="inlineStr">
        <is>
          <t>Low</t>
        </is>
      </c>
      <c r="H21" s="8" t="inlineStr">
        <is>
          <t>https://suttacentral.net/</t>
        </is>
      </c>
    </row>
    <row r="22">
      <c r="A22" s="2" t="inlineStr">
        <is>
          <t>AIATSIS</t>
        </is>
      </c>
      <c r="B22" s="2" t="inlineStr">
        <is>
          <t>Australian Aboriginal collections</t>
        </is>
      </c>
      <c r="C22" s="2" t="inlineStr">
        <is>
          <t>oral tradition, language and cultural resource discovery</t>
        </is>
      </c>
      <c r="D22" s="2" t="inlineStr">
        <is>
          <t>Medium</t>
        </is>
      </c>
      <c r="E22" s="2" t="inlineStr">
        <is>
          <t>Medium</t>
        </is>
      </c>
      <c r="F22" s="2" t="inlineStr">
        <is>
          <t>Low</t>
        </is>
      </c>
      <c r="G22" s="2" t="inlineStr">
        <is>
          <t>Medium</t>
        </is>
      </c>
      <c r="H22" s="8" t="inlineStr">
        <is>
          <t>https://aiatsis.gov.au/</t>
        </is>
      </c>
    </row>
    <row r="23">
      <c r="A23" s="2" t="inlineStr">
        <is>
          <t>INAH</t>
        </is>
      </c>
      <c r="B23" s="2" t="inlineStr">
        <is>
          <t>Mexican archaeology and museums</t>
        </is>
      </c>
      <c r="C23" s="2" t="inlineStr">
        <is>
          <t>site context and object records</t>
        </is>
      </c>
      <c r="D23" s="2" t="inlineStr">
        <is>
          <t>Low</t>
        </is>
      </c>
      <c r="E23" s="2" t="inlineStr">
        <is>
          <t>Medium</t>
        </is>
      </c>
      <c r="F23" s="2" t="inlineStr">
        <is>
          <t>Medium</t>
        </is>
      </c>
      <c r="G23" s="2" t="inlineStr">
        <is>
          <t>Medium</t>
        </is>
      </c>
      <c r="H23" s="8" t="inlineStr">
        <is>
          <t>https://www.inah.gob.mx/</t>
        </is>
      </c>
    </row>
    <row r="24">
      <c r="A24" s="2" t="inlineStr">
        <is>
          <t>ASI</t>
        </is>
      </c>
      <c r="B24" s="2" t="inlineStr">
        <is>
          <t>Indian archaeology</t>
        </is>
      </c>
      <c r="C24" s="2" t="inlineStr">
        <is>
          <t>site context, monuments, inscriptions</t>
        </is>
      </c>
      <c r="D24" s="2" t="inlineStr">
        <is>
          <t>Low</t>
        </is>
      </c>
      <c r="E24" s="2" t="inlineStr">
        <is>
          <t>Medium</t>
        </is>
      </c>
      <c r="F24" s="2" t="inlineStr">
        <is>
          <t>Medium</t>
        </is>
      </c>
      <c r="G24" s="2" t="inlineStr">
        <is>
          <t>Medium</t>
        </is>
      </c>
      <c r="H24" s="8" t="inlineStr">
        <is>
          <t>https://asi.nic.in/</t>
        </is>
      </c>
    </row>
    <row r="25">
      <c r="A25" s="2" t="inlineStr">
        <is>
          <t>Penn Museum</t>
        </is>
      </c>
      <c r="B25" s="2" t="inlineStr">
        <is>
          <t>Near Eastern archaeology context</t>
        </is>
      </c>
      <c r="C25" s="2" t="inlineStr">
        <is>
          <t>collection and excavation context</t>
        </is>
      </c>
      <c r="D25" s="2" t="inlineStr">
        <is>
          <t>Low</t>
        </is>
      </c>
      <c r="E25" s="2" t="inlineStr">
        <is>
          <t>Medium</t>
        </is>
      </c>
      <c r="F25" s="2" t="inlineStr">
        <is>
          <t>Medium</t>
        </is>
      </c>
      <c r="G25" s="2" t="inlineStr">
        <is>
          <t>Low</t>
        </is>
      </c>
      <c r="H25" s="8" t="inlineStr">
        <is>
          <t>https://www.penn.museum/</t>
        </is>
      </c>
    </row>
    <row r="26">
      <c r="A26" s="2" t="inlineStr">
        <is>
          <t>Internet Archive</t>
        </is>
      </c>
      <c r="B26" s="2" t="inlineStr">
        <is>
          <t>Public-domain translations</t>
        </is>
      </c>
      <c r="C26" s="2" t="inlineStr">
        <is>
          <t>scanned books, older translations</t>
        </is>
      </c>
      <c r="D26" s="2" t="inlineStr">
        <is>
          <t>Medium</t>
        </is>
      </c>
      <c r="E26" s="2" t="inlineStr">
        <is>
          <t>Medium</t>
        </is>
      </c>
      <c r="F26" s="2" t="inlineStr">
        <is>
          <t>Low</t>
        </is>
      </c>
      <c r="G26" s="2" t="inlineStr">
        <is>
          <t>Low</t>
        </is>
      </c>
      <c r="H26" s="8" t="inlineStr">
        <is>
          <t>https://archive.org/</t>
        </is>
      </c>
    </row>
    <row r="27">
      <c r="A27" t="inlineStr">
        <is>
          <t>Scaife Viewer</t>
        </is>
      </c>
      <c r="B27" t="inlineStr">
        <is>
          <t>Greek and Latin texts</t>
        </is>
      </c>
      <c r="C27" t="inlineStr">
        <is>
          <t>searchable reading environment for Perseus/Open Greek and Latin</t>
        </is>
      </c>
      <c r="D27" t="inlineStr">
        <is>
          <t>High</t>
        </is>
      </c>
      <c r="E27" t="inlineStr">
        <is>
          <t>Low</t>
        </is>
      </c>
      <c r="F27" t="inlineStr">
        <is>
          <t>Low</t>
        </is>
      </c>
      <c r="G27" t="inlineStr">
        <is>
          <t>Low</t>
        </is>
      </c>
      <c r="H27" t="inlineStr">
        <is>
          <t>https://scaife.perseus.org/</t>
        </is>
      </c>
    </row>
    <row r="28">
      <c r="A28" t="inlineStr">
        <is>
          <t>Open Greek and Latin</t>
        </is>
      </c>
      <c r="B28" t="inlineStr">
        <is>
          <t>Greek and Latin corpora</t>
        </is>
      </c>
      <c r="C28" t="inlineStr">
        <is>
          <t>open corpus releases and text infrastructure</t>
        </is>
      </c>
      <c r="D28" t="inlineStr">
        <is>
          <t>High</t>
        </is>
      </c>
      <c r="E28" t="inlineStr">
        <is>
          <t>Low</t>
        </is>
      </c>
      <c r="F28" t="inlineStr">
        <is>
          <t>Low</t>
        </is>
      </c>
      <c r="G28" t="inlineStr">
        <is>
          <t>Low</t>
        </is>
      </c>
      <c r="H28" t="inlineStr">
        <is>
          <t>https://opengreekandlatin.org/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70" customWidth="1" min="3" max="3"/>
    <col width="62" customWidth="1" min="4" max="4"/>
    <col width="48" customWidth="1" min="5" max="5"/>
    <col width="44" customWidth="1" min="6" max="6"/>
  </cols>
  <sheetData>
    <row r="1">
      <c r="A1" s="10" t="inlineStr">
        <is>
          <t>Story_Arc</t>
        </is>
      </c>
      <c r="B1" s="10" t="inlineStr">
        <is>
          <t>What_to_trace</t>
        </is>
      </c>
      <c r="C1" s="10" t="inlineStr">
        <is>
          <t>Primary_Start_Set</t>
        </is>
      </c>
      <c r="D1" s="10" t="inlineStr">
        <is>
          <t>Secondary_Start_Set</t>
        </is>
      </c>
      <c r="E1" s="10" t="inlineStr">
        <is>
          <t>Control_Sources</t>
        </is>
      </c>
      <c r="F1" s="10" t="inlineStr">
        <is>
          <t>Common_Trap_to_Avoid</t>
        </is>
      </c>
    </row>
    <row r="2">
      <c r="A2" s="2" t="inlineStr">
        <is>
          <t>Creation from waters / chaos</t>
        </is>
      </c>
      <c r="B2" s="2" t="inlineStr">
        <is>
          <t>Primeval waters, mound, spoken creation, divine combat, ordered cosmos</t>
        </is>
      </c>
      <c r="C2" s="2" t="inlineStr">
        <is>
          <t>Enuma Elish; Genesis 1; Pyramid Texts; Shabaka Stone; Rigveda hymns; Theogony</t>
        </is>
      </c>
      <c r="D2" s="2" t="inlineStr">
        <is>
          <t>Baal Cycle; Shan Hai Jing; Popol Vuh; Viracocha traditions</t>
        </is>
      </c>
      <c r="E2" s="2" t="inlineStr">
        <is>
          <t>Official translations + archaeology of cult centers</t>
        </is>
      </c>
      <c r="F2" s="2" t="inlineStr">
        <is>
          <t>Do not collapse all watery creation stories into a single direct transmission line.</t>
        </is>
      </c>
    </row>
    <row r="3">
      <c r="A3" s="2" t="inlineStr">
        <is>
          <t>Flood and world reset</t>
        </is>
      </c>
      <c r="B3" s="2" t="inlineStr">
        <is>
          <t>Cause of flood, survivor, vessel, mountain, post-flood law/order</t>
        </is>
      </c>
      <c r="C3" s="2" t="inlineStr">
        <is>
          <t>Atrahasis; Gilgamesh XI; Ziusudra; Genesis 6-9; Manu flood</t>
        </is>
      </c>
      <c r="D3" s="2" t="inlineStr">
        <is>
          <t>Yu the Great traditions; Viracocha traditions; Deucalion (via Greek sources)</t>
        </is>
      </c>
      <c r="E3" s="2" t="inlineStr">
        <is>
          <t>Compare language, cause, and post-flood outcome, not just the fact of water.</t>
        </is>
      </c>
      <c r="F3" s="2" t="inlineStr">
        <is>
          <t>Shared motif is not proof of one event by itself.</t>
        </is>
      </c>
    </row>
    <row r="4">
      <c r="A4" s="2" t="inlineStr">
        <is>
          <t>Divine civilizers / culture heroes</t>
        </is>
      </c>
      <c r="B4" s="2" t="inlineStr">
        <is>
          <t>Who teaches agriculture, writing, law, astronomy, city order</t>
        </is>
      </c>
      <c r="C4" s="2" t="inlineStr">
        <is>
          <t>Enki and the World Order; Oannes/Apkallu material; Osiris/Ptah; Yu the Great; Quetzalcoatl traditions</t>
        </is>
      </c>
      <c r="D4" s="2" t="inlineStr">
        <is>
          <t>Viracocha traditions; Prometheus; culture heroes in oral traditions</t>
        </is>
      </c>
      <c r="E4" s="2" t="inlineStr">
        <is>
          <t>Track first secure text/object witness for each figure.</t>
        </is>
      </c>
      <c r="F4" s="2" t="inlineStr">
        <is>
          <t>Do not equate figures across cultures too quickly.</t>
        </is>
      </c>
    </row>
    <row r="5">
      <c r="A5" s="2" t="inlineStr">
        <is>
          <t>Kingship after catastrophe</t>
        </is>
      </c>
      <c r="B5" s="2" t="inlineStr">
        <is>
          <t>King lists, dynastic resets, first cities after flood/chaos</t>
        </is>
      </c>
      <c r="C5" s="2" t="inlineStr">
        <is>
          <t>Sumerian King List; Abydos King List; Turin Canon; Behistun; Shujing; Mesha Stele</t>
        </is>
      </c>
      <c r="D5" s="2" t="inlineStr">
        <is>
          <t>Oracle bones; Ashokan Edicts; Phoenician inscriptions</t>
        </is>
      </c>
      <c r="E5" s="2" t="inlineStr">
        <is>
          <t>Use inscriptions to anchor literary king lists.</t>
        </is>
      </c>
      <c r="F5" s="2" t="inlineStr">
        <is>
          <t>King lists are ideological, not raw chronology dumps.</t>
        </is>
      </c>
    </row>
    <row r="6">
      <c r="A6" s="2" t="inlineStr">
        <is>
          <t>Sacred technology / sky knowledge</t>
        </is>
      </c>
      <c r="B6" s="2" t="inlineStr">
        <is>
          <t>Calendrics, star lists, devices, alignments, ritual architecture</t>
        </is>
      </c>
      <c r="C6" s="2" t="inlineStr">
        <is>
          <t>MUL.APIN; Enuma Anu Enlil; Antikythera Mechanism; Stonehenge; Newgrange; Nabta Playa</t>
        </is>
      </c>
      <c r="D6" s="2" t="inlineStr">
        <is>
          <t>Dendera corpus; Mawangdui maps; Maya codices (later witness)</t>
        </is>
      </c>
      <c r="E6" s="2" t="inlineStr">
        <is>
          <t>Prioritize what is explicitly documented over what is visually suggestive.</t>
        </is>
      </c>
      <c r="F6" s="2" t="inlineStr">
        <is>
          <t>A sophisticated artifact is not evidence of anachronistic civilization by default.</t>
        </is>
      </c>
    </row>
    <row r="7">
      <c r="A7" s="2" t="inlineStr">
        <is>
          <t>Underworld maps and afterlife routes</t>
        </is>
      </c>
      <c r="B7" s="2" t="inlineStr">
        <is>
          <t>Journeys after death, gates, spells, initiatory knowledge</t>
        </is>
      </c>
      <c r="C7" s="2" t="inlineStr">
        <is>
          <t>Pyramid Texts; Coffin Texts; Book of the Dead; Amduat; Inanna's Descent; Orphic tablets</t>
        </is>
      </c>
      <c r="D7" s="2" t="inlineStr">
        <is>
          <t>Eleusis; Book of Gates; Virgil/late classical comparanda if needed</t>
        </is>
      </c>
      <c r="E7" s="2" t="inlineStr">
        <is>
          <t>Keep funerary function in view.</t>
        </is>
      </c>
      <c r="F7" s="2" t="inlineStr">
        <is>
          <t>Do not read all underworld texts as literal geography maps.</t>
        </is>
      </c>
    </row>
    <row r="8">
      <c r="A8" t="inlineStr">
        <is>
          <t>Creation by speech / naming</t>
        </is>
      </c>
      <c r="B8" t="inlineStr">
        <is>
          <t>Divine utterance, naming, logos, command, songlines</t>
        </is>
      </c>
      <c r="C8" t="inlineStr">
        <is>
          <t>Shabaka Stone; Genesis 1; Vedic hymns</t>
        </is>
      </c>
      <c r="D8" t="inlineStr">
        <is>
          <t>Pyramid Texts; Huainanzi</t>
        </is>
      </c>
      <c r="E8" t="inlineStr">
        <is>
          <t>Read the exact verb and agent doing the creating.</t>
        </is>
      </c>
      <c r="F8" t="inlineStr">
        <is>
          <t>Do not equate metaphorical speech with literal sonic technology without textual support.</t>
        </is>
      </c>
    </row>
    <row r="9">
      <c r="A9" t="inlineStr">
        <is>
          <t>Human making / purpose</t>
        </is>
      </c>
      <c r="B9" t="inlineStr">
        <is>
          <t>Clay, blood, labor, sacrifice, failed creations, moral purpose</t>
        </is>
      </c>
      <c r="C9" t="inlineStr">
        <is>
          <t>Enki and Ninmah; Atrahasis; Genesis 2; Purusha Sukta</t>
        </is>
      </c>
      <c r="D9" t="inlineStr">
        <is>
          <t>Popol Vuh (later witness); Aggañña Sutta</t>
        </is>
      </c>
      <c r="E9" t="inlineStr">
        <is>
          <t>Track what humans are for, not only how they are made.</t>
        </is>
      </c>
      <c r="F9" t="inlineStr">
        <is>
          <t>Shared material such as clay does not by itself establish direct borrowing.</t>
        </is>
      </c>
    </row>
    <row r="10">
      <c r="A10" t="inlineStr">
        <is>
          <t>Sacred kingship / divine mandate</t>
        </is>
      </c>
      <c r="B10" t="inlineStr">
        <is>
          <t>Why rulers are legitimate, what gods authorize, how order is restored</t>
        </is>
      </c>
      <c r="C10" t="inlineStr">
        <is>
          <t>Narmer Palette; Sumerian King List; Behistun; Ashokan Edicts</t>
        </is>
      </c>
      <c r="D10" t="inlineStr">
        <is>
          <t>Oracle bones; Mesha Stele; Edfu texts</t>
        </is>
      </c>
      <c r="E10" t="inlineStr">
        <is>
          <t>Use inscriptions before later retellings.</t>
        </is>
      </c>
      <c r="F10" t="inlineStr">
        <is>
          <t>Royal ideology is biased evidence, but still first-order evidence.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1" t="inlineStr">
        <is>
          <t>Methodology / guardrails</t>
        </is>
      </c>
      <c r="B1" s="2" t="n"/>
    </row>
    <row r="2">
      <c r="A2" s="2" t="n"/>
      <c r="B2" s="2" t="n"/>
    </row>
    <row r="3">
      <c r="A3" s="3" t="inlineStr">
        <is>
          <t>1) Facts vs theory</t>
        </is>
      </c>
      <c r="B3" s="2" t="inlineStr">
        <is>
          <t>This workbook inventories primary materials and mainstream archaeological entry points. It does NOT treat cross-cultural similarity as proof. Use the item rows to inspect objects and texts directly before drawing character merges or civilization-transfer theories.</t>
        </is>
      </c>
    </row>
    <row r="4">
      <c r="A4" s="3" t="inlineStr">
        <is>
          <t>2) Later witnesses</t>
        </is>
      </c>
      <c r="B4" s="2" t="inlineStr">
        <is>
          <t>Some of the most important sources in alternative-history discourse are later than 1 AD (for example Popol Vuh manuscripts, some codices, Viracocha colonial chronicles, some megalithic sites in the Andes, Nan Madol). They are kept in the inventory with Scope_Flag = Later_witness_or_post_1AD_relevance.</t>
        </is>
      </c>
    </row>
    <row r="5">
      <c r="A5" s="3" t="inlineStr">
        <is>
          <t>3) Translation status</t>
        </is>
      </c>
      <c r="B5" s="2" t="inlineStr">
        <is>
          <t>High = easy public translation access; Partial = fragments, scattered editions, or later witnesses; No = undeciphered or non-text object.</t>
        </is>
      </c>
    </row>
    <row r="6">
      <c r="A6" s="3" t="inlineStr">
        <is>
          <t>4) Recommended workflow</t>
        </is>
      </c>
      <c r="B6" s="2" t="inlineStr">
        <is>
          <t>Start with Critical + BCE_to_1AD + a single theme (Creation, Flood, Kingship, Astronomy). Build a note-taking table keyed by Record_ID. Then compare only after you have looked at the underlying text/object pages.</t>
        </is>
      </c>
    </row>
    <row r="7">
      <c r="A7" s="2" t="n"/>
      <c r="B7" s="2" t="n"/>
    </row>
    <row r="8">
      <c r="A8" s="3" t="inlineStr">
        <is>
          <t>Starter research sequence</t>
        </is>
      </c>
      <c r="B8" s="2" t="n"/>
    </row>
    <row r="9">
      <c r="A9" s="2" t="n">
        <v>1</v>
      </c>
      <c r="B9" s="2" t="inlineStr">
        <is>
          <t>Mesopotamia: Sumerian King List, Eridu Genesis, Gilgamesh, Atrahasis, Enki and the World Order, MUL.APIN</t>
        </is>
      </c>
    </row>
    <row r="10">
      <c r="A10" s="2" t="n">
        <v>2</v>
      </c>
      <c r="B10" s="2" t="inlineStr">
        <is>
          <t>Egypt: Pyramid Texts, Coffin Texts, Book of the Dead, Shabaka Stone, Edfu texts, Abydos King List</t>
        </is>
      </c>
    </row>
    <row r="11">
      <c r="A11" s="2" t="n">
        <v>3</v>
      </c>
      <c r="B11" s="2" t="inlineStr">
        <is>
          <t>Levant / Hebrew: Genesis 1-11, Dead Sea Scrolls, 1 Enoch, Jubilees, Ugarit Baal Cycle, Mesha Stele</t>
        </is>
      </c>
    </row>
    <row r="12">
      <c r="A12" s="2" t="n">
        <v>4</v>
      </c>
      <c r="B12" s="2" t="inlineStr">
        <is>
          <t>South Asia: Rigveda, Satapatha Brahmana, Manu flood, early Upanishads, Ashokan Edicts, Indus seal corpus</t>
        </is>
      </c>
    </row>
    <row r="13">
      <c r="A13" s="2" t="n">
        <v>5</v>
      </c>
      <c r="B13" s="2" t="inlineStr">
        <is>
          <t>China: Oracle bones, Shang/Zhou bronzes, Shan Hai Jing, Yijing, Mawangdui maps, Yu the Great traditions</t>
        </is>
      </c>
    </row>
    <row r="14">
      <c r="A14" s="2" t="n">
        <v>6</v>
      </c>
      <c r="B14" s="2" t="inlineStr">
        <is>
          <t>Mesoamerica / Andes: San Bartolo murals, Izapa, El Mirador, Caral, Chavin, Nazca; then later witnesses like Popol Vuh and Viracocha traditions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8" customWidth="1" min="3" max="3"/>
    <col width="34" customWidth="1" min="4" max="4"/>
    <col width="34" customWidth="1" min="5" max="5"/>
    <col width="28" customWidth="1" min="6" max="6"/>
    <col width="34" customWidth="1" min="7" max="7"/>
  </cols>
  <sheetData>
    <row r="1">
      <c r="A1" s="12" t="inlineStr">
        <is>
          <t>Theme</t>
        </is>
      </c>
      <c r="B1" s="12" t="inlineStr">
        <is>
          <t>What_to_trace</t>
        </is>
      </c>
      <c r="C1" s="12" t="inlineStr">
        <is>
          <t>Anchor_cultures</t>
        </is>
      </c>
      <c r="D1" s="12" t="inlineStr">
        <is>
          <t>Must_start_with</t>
        </is>
      </c>
      <c r="E1" s="12" t="inlineStr">
        <is>
          <t>Secondary_expansion</t>
        </is>
      </c>
      <c r="F1" s="12" t="inlineStr">
        <is>
          <t>Control_question</t>
        </is>
      </c>
      <c r="G1" s="12" t="inlineStr">
        <is>
          <t>Guardrail</t>
        </is>
      </c>
    </row>
    <row r="2">
      <c r="A2" s="2" t="inlineStr">
        <is>
          <t>Primeval waters / chaos</t>
        </is>
      </c>
      <c r="B2" s="2" t="inlineStr">
        <is>
          <t>Nun, Apsu, Yam, undifferentiated void, cosmic sea</t>
        </is>
      </c>
      <c r="C2" s="2" t="inlineStr">
        <is>
          <t>Egypt; Mesopotamia; Levant; India; Greece</t>
        </is>
      </c>
      <c r="D2" s="2" t="inlineStr">
        <is>
          <t>Pyramid Texts; Enuma Elish; Genesis 1; Nasadiya Sukta</t>
        </is>
      </c>
      <c r="E2" s="2" t="inlineStr">
        <is>
          <t>Shan Hai Jing; Popol Vuh; Viracocha later witnesses</t>
        </is>
      </c>
      <c r="F2" s="2" t="inlineStr">
        <is>
          <t>Is water the origin, a battle context, or ritual symbol?</t>
        </is>
      </c>
      <c r="G2" s="2" t="inlineStr">
        <is>
          <t>Shared watery imagery is not proof of a single transmission path.</t>
        </is>
      </c>
    </row>
    <row r="3">
      <c r="A3" s="2" t="inlineStr">
        <is>
          <t>Creation by speech / mind</t>
        </is>
      </c>
      <c r="B3" s="2" t="inlineStr">
        <is>
          <t>Heart, tongue, logos, utterance, naming, song</t>
        </is>
      </c>
      <c r="C3" s="2" t="inlineStr">
        <is>
          <t>Egypt; Hebrew; India; China</t>
        </is>
      </c>
      <c r="D3" s="2" t="inlineStr">
        <is>
          <t>Shabaka Stone; Genesis 1; Vedic hymns</t>
        </is>
      </c>
      <c r="E3" s="2" t="inlineStr">
        <is>
          <t>Dreaming songlines; later philosophical traditions</t>
        </is>
      </c>
      <c r="F3" s="2" t="inlineStr">
        <is>
          <t>Does speech create substance, order, or law?</t>
        </is>
      </c>
      <c r="G3" s="2" t="inlineStr">
        <is>
          <t>Do not flatten priestly theology, poetry, and oral law into one genre.</t>
        </is>
      </c>
    </row>
    <row r="4">
      <c r="A4" s="2" t="inlineStr">
        <is>
          <t>Creation of humans</t>
        </is>
      </c>
      <c r="B4" s="2" t="inlineStr">
        <is>
          <t>Clay, blood, sacrifice, fashioning, failed creations</t>
        </is>
      </c>
      <c r="C4" s="2" t="inlineStr">
        <is>
          <t>Mesopotamia; Hebrew; India; Mesoamerica</t>
        </is>
      </c>
      <c r="D4" s="2" t="inlineStr">
        <is>
          <t>Enki and Ninmah; Atrahasis; Genesis 2</t>
        </is>
      </c>
      <c r="E4" s="2" t="inlineStr">
        <is>
          <t>Popol Vuh later witness; Aggañña Sutta</t>
        </is>
      </c>
      <c r="F4" s="2" t="inlineStr">
        <is>
          <t>What are humans made for in each system?</t>
        </is>
      </c>
      <c r="G4" s="2" t="inlineStr">
        <is>
          <t>Function and ontology matter more than surface material similarity.</t>
        </is>
      </c>
    </row>
    <row r="5">
      <c r="A5" s="2" t="inlineStr">
        <is>
          <t>Flood / catastrophe reset</t>
        </is>
      </c>
      <c r="B5" s="2" t="inlineStr">
        <is>
          <t>Cause, survivor, vessel/enclosure, mountain, covenant/order</t>
        </is>
      </c>
      <c r="C5" s="2" t="inlineStr">
        <is>
          <t>Mesopotamia; Hebrew; India; Iran; Greece</t>
        </is>
      </c>
      <c r="D5" s="2" t="inlineStr">
        <is>
          <t>Atrahasis; Gilgamesh XI; Genesis 6-9; Manu flood; Yima Vara</t>
        </is>
      </c>
      <c r="E5" s="2" t="inlineStr">
        <is>
          <t>Viracocha later witness; Deucalion; Yu traditions</t>
        </is>
      </c>
      <c r="F5" s="2" t="inlineStr">
        <is>
          <t>Is the reset moral, climatic, political, or cosmic?</t>
        </is>
      </c>
      <c r="G5" s="2" t="inlineStr">
        <is>
          <t>A shared flood motif alone does not prove one global event.</t>
        </is>
      </c>
    </row>
    <row r="6">
      <c r="A6" s="2" t="inlineStr">
        <is>
          <t>Divine civilizers</t>
        </is>
      </c>
      <c r="B6" s="2" t="inlineStr">
        <is>
          <t>Teachers of writing, law, agriculture, architecture, kingship</t>
        </is>
      </c>
      <c r="C6" s="2" t="inlineStr">
        <is>
          <t>Mesopotamia; Egypt; China; Mesoamerica; Andes</t>
        </is>
      </c>
      <c r="D6" s="2" t="inlineStr">
        <is>
          <t>Enki and the World Order; Apkallu; Edfu texts; Shujing/Yu</t>
        </is>
      </c>
      <c r="E6" s="2" t="inlineStr">
        <is>
          <t>Quetzalcoatl and Viracocha later witnesses</t>
        </is>
      </c>
      <c r="F6" s="2" t="inlineStr">
        <is>
          <t>What specific skill or order does the figure introduce?</t>
        </is>
      </c>
      <c r="G6" s="2" t="inlineStr">
        <is>
          <t>Do not merge figures before listing their functions side by side.</t>
        </is>
      </c>
    </row>
    <row r="7">
      <c r="A7" s="2" t="inlineStr">
        <is>
          <t>World ages / decline</t>
        </is>
      </c>
      <c r="B7" s="2" t="inlineStr">
        <is>
          <t>Golden age, bronze age, yugas, moral degeneration</t>
        </is>
      </c>
      <c r="C7" s="2" t="inlineStr">
        <is>
          <t>Greece; India; Iran; Jewish apocalyptic</t>
        </is>
      </c>
      <c r="D7" s="2" t="inlineStr">
        <is>
          <t>Works and Days; Mahabharata yuga material; Gathas/Yima</t>
        </is>
      </c>
      <c r="E7" s="2" t="inlineStr">
        <is>
          <t>Daniel; 1 Enoch</t>
        </is>
      </c>
      <c r="F7" s="2" t="inlineStr">
        <is>
          <t>Is decline moral, technological, genealogical, or cosmic?</t>
        </is>
      </c>
      <c r="G7" s="2" t="inlineStr">
        <is>
          <t>Separate cyclical ages from one-time catastrophe narratives.</t>
        </is>
      </c>
    </row>
    <row r="8">
      <c r="A8" s="2" t="inlineStr">
        <is>
          <t>Sacred kingship</t>
        </is>
      </c>
      <c r="B8" s="2" t="inlineStr">
        <is>
          <t>Divine legitimation, temple-building, victory, law</t>
        </is>
      </c>
      <c r="C8" s="2" t="inlineStr">
        <is>
          <t>Egypt; Mesopotamia; Levant; Persia; India</t>
        </is>
      </c>
      <c r="D8" s="2" t="inlineStr">
        <is>
          <t>Narmer Palette; king lists; Mesha Stele; Behistun; Ashokan edicts</t>
        </is>
      </c>
      <c r="E8" s="2" t="inlineStr">
        <is>
          <t>Oracle bones; Zhou bronzes</t>
        </is>
      </c>
      <c r="F8" s="2" t="inlineStr">
        <is>
          <t>How is kingship tied to divine order?</t>
        </is>
      </c>
      <c r="G8" s="2" t="inlineStr">
        <is>
          <t>Royal propaganda is evidence, but not neutral evidence.</t>
        </is>
      </c>
    </row>
    <row r="9">
      <c r="A9" s="2" t="inlineStr">
        <is>
          <t>Astronomy / omen systems</t>
        </is>
      </c>
      <c r="B9" s="2" t="inlineStr">
        <is>
          <t>Celestial regularity, prophecy, calendar, eclipse, solstice</t>
        </is>
      </c>
      <c r="C9" s="2" t="inlineStr">
        <is>
          <t>Mesopotamia; Egypt; China; Maya; Britain</t>
        </is>
      </c>
      <c r="D9" s="2" t="inlineStr">
        <is>
          <t>Enuma Anu Enlil; MUL.APIN; Oracle bones; Stonehenge</t>
        </is>
      </c>
      <c r="E9" s="2" t="inlineStr">
        <is>
          <t>Dresden Codex later witness; Newgrange; Nabta Playa</t>
        </is>
      </c>
      <c r="F9" s="2" t="inlineStr">
        <is>
          <t>Is the evidence predictive, calendrical, or symbolic?</t>
        </is>
      </c>
      <c r="G9" s="2" t="inlineStr">
        <is>
          <t>Do not turn every alignment into a precision observatory claim.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20" customWidth="1" min="4" max="4"/>
    <col width="18" customWidth="1" min="5" max="5"/>
    <col width="22" customWidth="1" min="6" max="6"/>
    <col width="18" customWidth="1" min="7" max="7"/>
    <col width="24" customWidth="1" min="8" max="8"/>
    <col width="28" customWidth="1" min="9" max="9"/>
    <col width="30" customWidth="1" min="10" max="10"/>
    <col width="26" customWidth="1" min="11" max="11"/>
    <col width="20" customWidth="1" min="12" max="12"/>
    <col width="34" customWidth="1" min="13" max="13"/>
    <col width="18" customWidth="1" min="14" max="14"/>
    <col width="28" customWidth="1" min="15" max="15"/>
    <col width="20" customWidth="1" min="16" max="16"/>
    <col width="28" customWidth="1" min="17" max="17"/>
    <col width="22" customWidth="1" min="18" max="18"/>
    <col width="30" customWidth="1" min="19" max="19"/>
    <col width="28" customWidth="1" min="20" max="20"/>
    <col width="28" customWidth="1" min="21" max="21"/>
  </cols>
  <sheetData>
    <row r="1">
      <c r="A1" s="14" t="inlineStr">
        <is>
          <t>Parallel_Group</t>
        </is>
      </c>
      <c r="B1" s="14" t="inlineStr">
        <is>
          <t>Motif</t>
        </is>
      </c>
      <c r="C1" s="14" t="inlineStr">
        <is>
          <t>Figure</t>
        </is>
      </c>
      <c r="D1" s="14" t="inlineStr">
        <is>
          <t>Culture_Tradition</t>
        </is>
      </c>
      <c r="E1" s="14" t="inlineStr">
        <is>
          <t>Region</t>
        </is>
      </c>
      <c r="F1" s="14" t="inlineStr">
        <is>
          <t>Date_Context</t>
        </is>
      </c>
      <c r="G1" s="14" t="inlineStr">
        <is>
          <t>Role_Type</t>
        </is>
      </c>
      <c r="H1" s="14" t="inlineStr">
        <is>
          <t>Core_Function</t>
        </is>
      </c>
      <c r="I1" s="14" t="inlineStr">
        <is>
          <t>Closest_Parallels</t>
        </is>
      </c>
      <c r="J1" s="14" t="inlineStr">
        <is>
          <t>Main_Texts_or_Witnesses</t>
        </is>
      </c>
      <c r="K1" s="14" t="inlineStr">
        <is>
          <t>Main_Sites_or_Objects</t>
        </is>
      </c>
      <c r="L1" s="14" t="inlineStr">
        <is>
          <t>Identity_Status</t>
        </is>
      </c>
      <c r="M1" s="14" t="inlineStr">
        <is>
          <t>Comparison_Rationale</t>
        </is>
      </c>
      <c r="N1" s="14" t="inlineStr">
        <is>
          <t>Best_Fact_Portal</t>
        </is>
      </c>
      <c r="O1" s="14" t="inlineStr">
        <is>
          <t>Best_Fact_URL</t>
        </is>
      </c>
      <c r="P1" s="14" t="inlineStr">
        <is>
          <t>Best_Translation_Portal</t>
        </is>
      </c>
      <c r="Q1" s="14" t="inlineStr">
        <is>
          <t>Best_Translation_URL</t>
        </is>
      </c>
      <c r="R1" s="14" t="inlineStr">
        <is>
          <t>Best_Image_or_Object_Portal</t>
        </is>
      </c>
      <c r="S1" s="14" t="inlineStr">
        <is>
          <t>Best_Image_or_Object_URL</t>
        </is>
      </c>
      <c r="T1" s="14" t="inlineStr">
        <is>
          <t>Master_Inventory_Match</t>
        </is>
      </c>
      <c r="U1" s="14" t="inlineStr">
        <is>
          <t>Research_Note</t>
        </is>
      </c>
    </row>
    <row r="2">
      <c r="A2" s="2" t="inlineStr">
        <is>
          <t>Flood survivor / preserver</t>
        </is>
      </c>
      <c r="B2" s="2" t="inlineStr">
        <is>
          <t>Global deluge, preservation of life</t>
        </is>
      </c>
      <c r="C2" s="2" t="inlineStr">
        <is>
          <t>Ziusudra</t>
        </is>
      </c>
      <c r="D2" s="2" t="inlineStr">
        <is>
          <t>Sumerian</t>
        </is>
      </c>
      <c r="E2" s="2" t="inlineStr">
        <is>
          <t>Mesopotamia</t>
        </is>
      </c>
      <c r="F2" s="2" t="inlineStr">
        <is>
          <t>3rd–2nd millennium BCE witnesses</t>
        </is>
      </c>
      <c r="G2" s="2" t="inlineStr">
        <is>
          <t>Flood survivor</t>
        </is>
      </c>
      <c r="H2" s="2" t="inlineStr">
        <is>
          <t>Chosen survivor of divine flood</t>
        </is>
      </c>
      <c r="I2" s="2" t="inlineStr">
        <is>
          <t>Utnapishtim; Atrahasis; Noah; Manu</t>
        </is>
      </c>
      <c r="J2" s="2" t="inlineStr">
        <is>
          <t>Eridu Genesis / Sumerian flood tradition</t>
        </is>
      </c>
      <c r="K2" s="2" t="inlineStr">
        <is>
          <t>Eridu; Sumerian tablets</t>
        </is>
      </c>
      <c r="L2" s="2" t="inlineStr">
        <is>
          <t>Possible same memory stream</t>
        </is>
      </c>
      <c r="M2" s="2" t="inlineStr">
        <is>
          <t>Shared pattern of warning, vessel, survival, sacrifice, post-flood continuity</t>
        </is>
      </c>
      <c r="N2" s="2" t="inlineStr">
        <is>
          <t>ETCSL</t>
        </is>
      </c>
      <c r="O2" s="2" t="inlineStr">
        <is>
          <t>https://etcsl.orinst.ox.ac.uk/</t>
        </is>
      </c>
      <c r="P2" s="2" t="inlineStr">
        <is>
          <t>ETCSL</t>
        </is>
      </c>
      <c r="Q2" s="2" t="inlineStr">
        <is>
          <t>https://etcsl.orinst.ox.ac.uk/cgi-bin/etcsl.cgi?text=all</t>
        </is>
      </c>
      <c r="R2" s="2" t="inlineStr">
        <is>
          <t>British Museum Collection</t>
        </is>
      </c>
      <c r="S2" s="2" t="inlineStr">
        <is>
          <t>https://www.britishmuseum.org/collection</t>
        </is>
      </c>
      <c r="T2" s="2" t="inlineStr">
        <is>
          <t>Ziusudra Flood Story</t>
        </is>
      </c>
      <c r="U2" s="2" t="inlineStr">
        <is>
          <t>Best starting point for early Sumerian flood memory.</t>
        </is>
      </c>
    </row>
    <row r="3">
      <c r="A3" s="2" t="inlineStr">
        <is>
          <t>Flood survivor / preserver</t>
        </is>
      </c>
      <c r="B3" s="2" t="inlineStr">
        <is>
          <t>Global deluge, preservation of life</t>
        </is>
      </c>
      <c r="C3" s="2" t="inlineStr">
        <is>
          <t>Atrahasis</t>
        </is>
      </c>
      <c r="D3" s="2" t="inlineStr">
        <is>
          <t>Akkadian / Babylonian</t>
        </is>
      </c>
      <c r="E3" s="2" t="inlineStr">
        <is>
          <t>Mesopotamia</t>
        </is>
      </c>
      <c r="F3" s="2" t="inlineStr">
        <is>
          <t>2nd millennium BCE witnesses</t>
        </is>
      </c>
      <c r="G3" s="2" t="inlineStr">
        <is>
          <t>Flood survivor</t>
        </is>
      </c>
      <c r="H3" s="2" t="inlineStr">
        <is>
          <t>Human preserver warned by deity</t>
        </is>
      </c>
      <c r="I3" s="2" t="inlineStr">
        <is>
          <t>Ziusudra; Utnapishtim; Noah; Manu</t>
        </is>
      </c>
      <c r="J3" s="2" t="inlineStr">
        <is>
          <t>Atrahasis Epic</t>
        </is>
      </c>
      <c r="K3" s="2" t="inlineStr">
        <is>
          <t>Mesopotamian tablet corpus</t>
        </is>
      </c>
      <c r="L3" s="2" t="inlineStr">
        <is>
          <t>Possible same memory stream</t>
        </is>
      </c>
      <c r="M3" s="2" t="inlineStr">
        <is>
          <t>Shared boat-building and divine-warning structure with other flood heroes</t>
        </is>
      </c>
      <c r="N3" s="2" t="inlineStr">
        <is>
          <t>ORACC</t>
        </is>
      </c>
      <c r="O3" s="2" t="inlineStr">
        <is>
          <t>https://oracc.museum.upenn.edu/</t>
        </is>
      </c>
      <c r="P3" s="2" t="inlineStr">
        <is>
          <t>ORACC</t>
        </is>
      </c>
      <c r="Q3" s="2" t="inlineStr">
        <is>
          <t>https://oracc.museum.upenn.edu/</t>
        </is>
      </c>
      <c r="R3" s="2" t="inlineStr">
        <is>
          <t>British Museum Collection</t>
        </is>
      </c>
      <c r="S3" s="2" t="inlineStr">
        <is>
          <t>https://www.britishmuseum.org/collection</t>
        </is>
      </c>
      <c r="T3" s="2" t="inlineStr">
        <is>
          <t>Atrahasis</t>
        </is>
      </c>
      <c r="U3" s="2" t="inlineStr">
        <is>
          <t>Use for detailed Akkadian flood formulation.</t>
        </is>
      </c>
    </row>
    <row r="4">
      <c r="A4" s="2" t="inlineStr">
        <is>
          <t>Flood survivor / preserver</t>
        </is>
      </c>
      <c r="B4" s="2" t="inlineStr">
        <is>
          <t>Global deluge, preservation of life</t>
        </is>
      </c>
      <c r="C4" s="2" t="inlineStr">
        <is>
          <t>Utnapishtim</t>
        </is>
      </c>
      <c r="D4" s="2" t="inlineStr">
        <is>
          <t>Akkadian</t>
        </is>
      </c>
      <c r="E4" s="2" t="inlineStr">
        <is>
          <t>Mesopotamia</t>
        </is>
      </c>
      <c r="F4" s="2" t="inlineStr">
        <is>
          <t>1st millennium BCE standard Babylonian witness</t>
        </is>
      </c>
      <c r="G4" s="2" t="inlineStr">
        <is>
          <t>Flood survivor</t>
        </is>
      </c>
      <c r="H4" s="2" t="inlineStr">
        <is>
          <t>Immortal survivor in epic frame</t>
        </is>
      </c>
      <c r="I4" s="2" t="inlineStr">
        <is>
          <t>Ziusudra; Atrahasis; Noah; Manu</t>
        </is>
      </c>
      <c r="J4" s="2" t="inlineStr">
        <is>
          <t>Epic of Gilgamesh Tablet XI</t>
        </is>
      </c>
      <c r="K4" s="2" t="inlineStr">
        <is>
          <t>Nineveh / Ashurbanipal Library</t>
        </is>
      </c>
      <c r="L4" s="2" t="inlineStr">
        <is>
          <t>Possible same memory stream</t>
        </is>
      </c>
      <c r="M4" s="2" t="inlineStr">
        <is>
          <t>Narrative overlaps strongly with biblical and earlier Mesopotamian flood structures</t>
        </is>
      </c>
      <c r="N4" s="2" t="inlineStr">
        <is>
          <t>ORACC</t>
        </is>
      </c>
      <c r="O4" s="2" t="inlineStr">
        <is>
          <t>https://oracc.museum.upenn.edu/</t>
        </is>
      </c>
      <c r="P4" s="2" t="inlineStr">
        <is>
          <t>ORACC</t>
        </is>
      </c>
      <c r="Q4" s="2" t="inlineStr">
        <is>
          <t>https://oracc.museum.upenn.edu/</t>
        </is>
      </c>
      <c r="R4" s="2" t="inlineStr">
        <is>
          <t>British Museum Collection</t>
        </is>
      </c>
      <c r="S4" s="2" t="inlineStr">
        <is>
          <t>https://www.britishmuseum.org/collection</t>
        </is>
      </c>
      <c r="T4" s="2" t="inlineStr"/>
      <c r="U4" s="2" t="inlineStr">
        <is>
          <t>Best known flood witness in later Akkadian literature.</t>
        </is>
      </c>
    </row>
    <row r="5">
      <c r="A5" s="2" t="inlineStr">
        <is>
          <t>Flood survivor / preserver</t>
        </is>
      </c>
      <c r="B5" s="2" t="inlineStr">
        <is>
          <t>Global deluge, preservation of life</t>
        </is>
      </c>
      <c r="C5" s="2" t="inlineStr">
        <is>
          <t>Noah</t>
        </is>
      </c>
      <c r="D5" s="2" t="inlineStr">
        <is>
          <t>Hebrew Bible / Second Temple</t>
        </is>
      </c>
      <c r="E5" s="2" t="inlineStr">
        <is>
          <t>Levant / Israel / Phoenicia</t>
        </is>
      </c>
      <c r="F5" s="2" t="inlineStr">
        <is>
          <t>Late 1st millennium BCE textual witnesses</t>
        </is>
      </c>
      <c r="G5" s="2" t="inlineStr">
        <is>
          <t>Flood survivor</t>
        </is>
      </c>
      <c r="H5" s="2" t="inlineStr">
        <is>
          <t>Chosen righteous preserver</t>
        </is>
      </c>
      <c r="I5" s="2" t="inlineStr">
        <is>
          <t>Ziusudra; Atrahasis; Utnapishtim; Manu</t>
        </is>
      </c>
      <c r="J5" s="2" t="inlineStr">
        <is>
          <t>Genesis 6–9; later Second Temple expansions</t>
        </is>
      </c>
      <c r="K5" s="2" t="inlineStr">
        <is>
          <t>Qumran / Dead Sea Scroll context</t>
        </is>
      </c>
      <c r="L5" s="2" t="inlineStr">
        <is>
          <t>Possible same memory stream</t>
        </is>
      </c>
      <c r="M5" s="2" t="inlineStr">
        <is>
          <t>Preservation of family/animals and covenant motif parallel Mesopotamian flood cycles</t>
        </is>
      </c>
      <c r="N5" s="2" t="inlineStr">
        <is>
          <t>Sefaria</t>
        </is>
      </c>
      <c r="O5" s="2" t="inlineStr">
        <is>
          <t>https://www.sefaria.org/Genesis.6</t>
        </is>
      </c>
      <c r="P5" s="2" t="inlineStr">
        <is>
          <t>Sefaria</t>
        </is>
      </c>
      <c r="Q5" s="2" t="inlineStr">
        <is>
          <t>https://www.sefaria.org/Genesis.6</t>
        </is>
      </c>
      <c r="R5" s="2" t="inlineStr">
        <is>
          <t>Dead Sea Scrolls Digital Library</t>
        </is>
      </c>
      <c r="S5" s="2" t="inlineStr">
        <is>
          <t>https://www.deadseascrolls.org.il/</t>
        </is>
      </c>
      <c r="T5" s="2" t="inlineStr"/>
      <c r="U5" s="2" t="inlineStr">
        <is>
          <t>Use DSS for manuscript witnesses and Sefaria for readable translation.</t>
        </is>
      </c>
    </row>
    <row r="6">
      <c r="A6" s="2" t="inlineStr">
        <is>
          <t>Flood survivor / preserver</t>
        </is>
      </c>
      <c r="B6" s="2" t="inlineStr">
        <is>
          <t>Flood / renewal</t>
        </is>
      </c>
      <c r="C6" s="2" t="inlineStr">
        <is>
          <t>Manu</t>
        </is>
      </c>
      <c r="D6" s="2" t="inlineStr">
        <is>
          <t>Vedic / early Hindu</t>
        </is>
      </c>
      <c r="E6" s="2" t="inlineStr">
        <is>
          <t>South Asia</t>
        </is>
      </c>
      <c r="F6" s="2" t="inlineStr">
        <is>
          <t>Late BCE textual witness to older oral tradition</t>
        </is>
      </c>
      <c r="G6" s="2" t="inlineStr">
        <is>
          <t>Flood survivor / lawgiver</t>
        </is>
      </c>
      <c r="H6" s="2" t="inlineStr">
        <is>
          <t>Preserver through flood and renewer of order</t>
        </is>
      </c>
      <c r="I6" s="2" t="inlineStr">
        <is>
          <t>Noah; Ziusudra; Utnapishtim; Deucalion</t>
        </is>
      </c>
      <c r="J6" s="2" t="inlineStr">
        <is>
          <t>Satapatha Brahmana flood episode</t>
        </is>
      </c>
      <c r="K6" s="2" t="inlineStr">
        <is>
          <t>South Asian manuscript tradition</t>
        </is>
      </c>
      <c r="L6" s="2" t="inlineStr">
        <is>
          <t>Structural parallel</t>
        </is>
      </c>
      <c r="M6" s="2" t="inlineStr">
        <is>
          <t>Warning + preserved seed of order is the main comparison point</t>
        </is>
      </c>
      <c r="N6" s="2" t="inlineStr">
        <is>
          <t>Sacred Texts / translated editions</t>
        </is>
      </c>
      <c r="O6" s="2" t="inlineStr">
        <is>
          <t>https://www.sacred-texts.com/hin/</t>
        </is>
      </c>
      <c r="P6" s="2" t="inlineStr">
        <is>
          <t>Sacred Texts / translated editions</t>
        </is>
      </c>
      <c r="Q6" s="2" t="inlineStr">
        <is>
          <t>https://www.sacred-texts.com/hin/</t>
        </is>
      </c>
      <c r="R6" s="2" t="inlineStr">
        <is>
          <t>British Library / museum collections</t>
        </is>
      </c>
      <c r="S6" s="2" t="inlineStr">
        <is>
          <t>https://www.bl.uk/collection-guides</t>
        </is>
      </c>
      <c r="T6" s="2" t="inlineStr">
        <is>
          <t>Manu flood tradition; Śatapatha Brāhmaṇa flood of Manu; Chu Silk Manuscript</t>
        </is>
      </c>
      <c r="U6" s="2" t="inlineStr">
        <is>
          <t>Treat as an Indian flood-renewal analogue, not automatic identity.</t>
        </is>
      </c>
    </row>
    <row r="7">
      <c r="A7" s="2" t="inlineStr">
        <is>
          <t>Flood survivor / preserver</t>
        </is>
      </c>
      <c r="B7" s="2" t="inlineStr">
        <is>
          <t>Flood / renewal</t>
        </is>
      </c>
      <c r="C7" s="2" t="inlineStr">
        <is>
          <t>Deucalion</t>
        </is>
      </c>
      <c r="D7" s="2" t="inlineStr">
        <is>
          <t>Greek</t>
        </is>
      </c>
      <c r="E7" s="2" t="inlineStr">
        <is>
          <t>Aegean / Greece / Italy</t>
        </is>
      </c>
      <c r="F7" s="2" t="inlineStr">
        <is>
          <t>Late BCE/early CE literary witnesses to older tradition</t>
        </is>
      </c>
      <c r="G7" s="2" t="inlineStr">
        <is>
          <t>Flood survivor</t>
        </is>
      </c>
      <c r="H7" s="2" t="inlineStr">
        <is>
          <t>Greek deluge survivor</t>
        </is>
      </c>
      <c r="I7" s="2" t="inlineStr">
        <is>
          <t>Noah; Utnapishtim; Manu</t>
        </is>
      </c>
      <c r="J7" s="2" t="inlineStr">
        <is>
          <t>Apollodorus / Ovid / Greek myth tradition</t>
        </is>
      </c>
      <c r="K7" s="2" t="inlineStr">
        <is>
          <t>Greek literary corpus</t>
        </is>
      </c>
      <c r="L7" s="2" t="inlineStr">
        <is>
          <t>Structural parallel</t>
        </is>
      </c>
      <c r="M7" s="2" t="inlineStr">
        <is>
          <t>Greek version preserves ark-like survival and repopulation theme</t>
        </is>
      </c>
      <c r="N7" s="2" t="inlineStr">
        <is>
          <t>Perseus</t>
        </is>
      </c>
      <c r="O7" s="2" t="inlineStr">
        <is>
          <t>https://www.perseus.tufts.edu/hopper/</t>
        </is>
      </c>
      <c r="P7" s="2" t="inlineStr">
        <is>
          <t>Perseus</t>
        </is>
      </c>
      <c r="Q7" s="2" t="inlineStr">
        <is>
          <t>https://www.perseus.tufts.edu/hopper/</t>
        </is>
      </c>
      <c r="R7" s="2" t="inlineStr">
        <is>
          <t>Perseus Art &amp; Archaeology</t>
        </is>
      </c>
      <c r="S7" s="2" t="inlineStr">
        <is>
          <t>https://perseus.pubpub.org/</t>
        </is>
      </c>
      <c r="T7" s="2" t="inlineStr"/>
      <c r="U7" s="2" t="inlineStr">
        <is>
          <t>Use as Greek comparative witness rather than primary Bronze Age record.</t>
        </is>
      </c>
    </row>
    <row r="8">
      <c r="A8" s="2" t="inlineStr">
        <is>
          <t>Flood survivor / preserver</t>
        </is>
      </c>
      <c r="B8" s="2" t="inlineStr">
        <is>
          <t>Cataclysm shelter / preservation</t>
        </is>
      </c>
      <c r="C8" s="2" t="inlineStr">
        <is>
          <t>Yima</t>
        </is>
      </c>
      <c r="D8" s="2" t="inlineStr">
        <is>
          <t>Avestan / Iranian</t>
        </is>
      </c>
      <c r="E8" s="2" t="inlineStr">
        <is>
          <t>Iran / Central Asia</t>
        </is>
      </c>
      <c r="F8" s="2" t="inlineStr">
        <is>
          <t>Late BCE witness to older Iranian tradition</t>
        </is>
      </c>
      <c r="G8" s="2" t="inlineStr">
        <is>
          <t>Cataclysm preserver</t>
        </is>
      </c>
      <c r="H8" s="2" t="inlineStr">
        <is>
          <t>Builds enclosure to preserve life against world-destroying winter</t>
        </is>
      </c>
      <c r="I8" s="2" t="inlineStr">
        <is>
          <t>Manu; Noah; Utnapishtim</t>
        </is>
      </c>
      <c r="J8" s="2" t="inlineStr">
        <is>
          <t>Vendidad / Avestan tradition</t>
        </is>
      </c>
      <c r="K8" s="2" t="inlineStr">
        <is>
          <t>Iranian manuscript tradition</t>
        </is>
      </c>
      <c r="L8" s="2" t="inlineStr">
        <is>
          <t>Structural parallel</t>
        </is>
      </c>
      <c r="M8" s="2" t="inlineStr">
        <is>
          <t>Not a flood story in strict sense, but a preservation-through-cataclysm parallel</t>
        </is>
      </c>
      <c r="N8" s="2" t="inlineStr">
        <is>
          <t>Sacred Texts / translated Avesta</t>
        </is>
      </c>
      <c r="O8" s="2" t="inlineStr">
        <is>
          <t>https://www.sacred-texts.com/zor/avesta/</t>
        </is>
      </c>
      <c r="P8" s="2" t="inlineStr">
        <is>
          <t>Sacred Texts / translated Avesta</t>
        </is>
      </c>
      <c r="Q8" s="2" t="inlineStr">
        <is>
          <t>https://www.sacred-texts.com/zor/avesta/</t>
        </is>
      </c>
      <c r="R8" s="2" t="inlineStr">
        <is>
          <t>British Library / museum collections</t>
        </is>
      </c>
      <c r="S8" s="2" t="inlineStr">
        <is>
          <t>https://www.bl.uk/collection-guides</t>
        </is>
      </c>
      <c r="T8" s="2" t="inlineStr">
        <is>
          <t>Yima and the Vara</t>
        </is>
      </c>
      <c r="U8" s="2" t="inlineStr">
        <is>
          <t>Good for broader cataclysm-memory map.</t>
        </is>
      </c>
    </row>
    <row r="9">
      <c r="A9" s="2" t="inlineStr">
        <is>
          <t>Flood survivor / preserver</t>
        </is>
      </c>
      <c r="B9" s="2" t="inlineStr">
        <is>
          <t>Hellenistic bridge figure</t>
        </is>
      </c>
      <c r="C9" s="2" t="inlineStr">
        <is>
          <t>Xisuthros</t>
        </is>
      </c>
      <c r="D9" s="2" t="inlineStr">
        <is>
          <t>Berossus / Hellenistic Mesopotamian</t>
        </is>
      </c>
      <c r="E9" s="2" t="inlineStr">
        <is>
          <t>Mesopotamia</t>
        </is>
      </c>
      <c r="F9" s="2" t="inlineStr">
        <is>
          <t>Hellenistic witness preserving older Mesopotamian material</t>
        </is>
      </c>
      <c r="G9" s="2" t="inlineStr">
        <is>
          <t>Flood survivor</t>
        </is>
      </c>
      <c r="H9" s="2" t="inlineStr">
        <is>
          <t>Greek rendering of Mesopotamian flood hero</t>
        </is>
      </c>
      <c r="I9" s="2" t="inlineStr">
        <is>
          <t>Ziusudra; Utnapishtim</t>
        </is>
      </c>
      <c r="J9" s="2" t="inlineStr">
        <is>
          <t>Berossus fragments</t>
        </is>
      </c>
      <c r="K9" s="2" t="inlineStr">
        <is>
          <t>Classical quotations corpus</t>
        </is>
      </c>
      <c r="L9" s="2" t="inlineStr">
        <is>
          <t>Likely same memory stream</t>
        </is>
      </c>
      <c r="M9" s="2" t="inlineStr">
        <is>
          <t>Helpful bridge between Mesopotamian and Greek reception history</t>
        </is>
      </c>
      <c r="N9" s="2" t="inlineStr">
        <is>
          <t>Perseus</t>
        </is>
      </c>
      <c r="O9" s="2" t="inlineStr">
        <is>
          <t>https://www.perseus.tufts.edu/hopper/</t>
        </is>
      </c>
      <c r="P9" s="2" t="inlineStr">
        <is>
          <t>Perseus</t>
        </is>
      </c>
      <c r="Q9" s="2" t="inlineStr">
        <is>
          <t>https://www.perseus.tufts.edu/hopper/</t>
        </is>
      </c>
      <c r="R9" s="2" t="inlineStr">
        <is>
          <t>British Museum Collection</t>
        </is>
      </c>
      <c r="S9" s="2" t="inlineStr">
        <is>
          <t>https://www.britishmuseum.org/collection</t>
        </is>
      </c>
      <c r="T9" s="2" t="inlineStr"/>
      <c r="U9" s="2" t="inlineStr">
        <is>
          <t>Useful reception-history comparator.</t>
        </is>
      </c>
    </row>
    <row r="10">
      <c r="A10" s="2" t="inlineStr">
        <is>
          <t>Civilizer / wisdom bearer</t>
        </is>
      </c>
      <c r="B10" s="2" t="inlineStr">
        <is>
          <t>Order, crafts, freshwater wisdom</t>
        </is>
      </c>
      <c r="C10" s="2" t="inlineStr">
        <is>
          <t>Enki</t>
        </is>
      </c>
      <c r="D10" s="2" t="inlineStr">
        <is>
          <t>Sumerian</t>
        </is>
      </c>
      <c r="E10" s="2" t="inlineStr">
        <is>
          <t>Mesopotamia</t>
        </is>
      </c>
      <c r="F10" s="2" t="inlineStr">
        <is>
          <t>3rd–2nd millennium BCE witnesses</t>
        </is>
      </c>
      <c r="G10" s="2" t="inlineStr">
        <is>
          <t>God / civilizer</t>
        </is>
      </c>
      <c r="H10" s="2" t="inlineStr">
        <is>
          <t>Assigns order, crafts, wisdom, waters</t>
        </is>
      </c>
      <c r="I10" s="2" t="inlineStr">
        <is>
          <t>Oannes; Thoth; Ptah; Prometheus; Viracocha</t>
        </is>
      </c>
      <c r="J10" s="2" t="inlineStr">
        <is>
          <t>Enki and the World Order; Enki myths</t>
        </is>
      </c>
      <c r="K10" s="2" t="inlineStr">
        <is>
          <t>Eridu; Sumerian tablets</t>
        </is>
      </c>
      <c r="L10" s="2" t="inlineStr">
        <is>
          <t>Structural parallel</t>
        </is>
      </c>
      <c r="M10" s="2" t="inlineStr">
        <is>
          <t>Civilizing, technical, and culture-ordering functions recur widely</t>
        </is>
      </c>
      <c r="N10" s="2" t="inlineStr">
        <is>
          <t>ETCSL</t>
        </is>
      </c>
      <c r="O10" s="2" t="inlineStr">
        <is>
          <t>https://etcsl.orinst.ox.ac.uk/</t>
        </is>
      </c>
      <c r="P10" s="2" t="inlineStr">
        <is>
          <t>ETCSL</t>
        </is>
      </c>
      <c r="Q10" s="2" t="inlineStr">
        <is>
          <t>https://etcsl.orinst.ox.ac.uk/cgi-bin/etcsl.cgi?text=all</t>
        </is>
      </c>
      <c r="R10" s="2" t="inlineStr">
        <is>
          <t>British Museum Collection</t>
        </is>
      </c>
      <c r="S10" s="2" t="inlineStr">
        <is>
          <t>https://www.britishmuseum.org/collection</t>
        </is>
      </c>
      <c r="T10" s="2" t="inlineStr">
        <is>
          <t>Enki and Ninhursag; Enki and the World Order; Enki and Ninhursag</t>
        </is>
      </c>
      <c r="U10" s="2" t="inlineStr">
        <is>
          <t>Central figure for your civilizer-god thread.</t>
        </is>
      </c>
    </row>
    <row r="11">
      <c r="A11" s="2" t="inlineStr">
        <is>
          <t>Civilizer / wisdom bearer</t>
        </is>
      </c>
      <c r="B11" s="2" t="inlineStr">
        <is>
          <t>Sea-borne teacher of civilization</t>
        </is>
      </c>
      <c r="C11" s="2" t="inlineStr">
        <is>
          <t>Oannes</t>
        </is>
      </c>
      <c r="D11" s="2" t="inlineStr">
        <is>
          <t>Mesopotamian / Hellenistic witness</t>
        </is>
      </c>
      <c r="E11" s="2" t="inlineStr">
        <is>
          <t>Mesopotamia</t>
        </is>
      </c>
      <c r="F11" s="2" t="inlineStr">
        <is>
          <t>Hellenistic witness to older Mesopotamian tradition</t>
        </is>
      </c>
      <c r="G11" s="2" t="inlineStr">
        <is>
          <t>Culture hero</t>
        </is>
      </c>
      <c r="H11" s="2" t="inlineStr">
        <is>
          <t>Teacher of writing, arts, law, agriculture</t>
        </is>
      </c>
      <c r="I11" s="2" t="inlineStr">
        <is>
          <t>Enki; Apkallu; Thoth; Quetzalcoatl</t>
        </is>
      </c>
      <c r="J11" s="2" t="inlineStr">
        <is>
          <t>Berossus tradition</t>
        </is>
      </c>
      <c r="K11" s="2" t="inlineStr">
        <is>
          <t>Babylonia in classical witness</t>
        </is>
      </c>
      <c r="L11" s="2" t="inlineStr">
        <is>
          <t>Structural parallel</t>
        </is>
      </c>
      <c r="M11" s="2" t="inlineStr">
        <is>
          <t>Strong “teacher from the waters” pattern</t>
        </is>
      </c>
      <c r="N11" s="2" t="inlineStr">
        <is>
          <t>Perseus</t>
        </is>
      </c>
      <c r="O11" s="2" t="inlineStr">
        <is>
          <t>https://www.perseus.tufts.edu/hopper/</t>
        </is>
      </c>
      <c r="P11" s="2" t="inlineStr">
        <is>
          <t>Perseus</t>
        </is>
      </c>
      <c r="Q11" s="2" t="inlineStr">
        <is>
          <t>https://www.perseus.tufts.edu/hopper/</t>
        </is>
      </c>
      <c r="R11" s="2" t="inlineStr">
        <is>
          <t>British Museum Collection</t>
        </is>
      </c>
      <c r="S11" s="2" t="inlineStr">
        <is>
          <t>https://www.britishmuseum.org/collection</t>
        </is>
      </c>
      <c r="T11" s="2" t="inlineStr"/>
      <c r="U11" s="2" t="inlineStr">
        <is>
          <t>Treat as later literary witness to older Mesopotamian lore.</t>
        </is>
      </c>
    </row>
    <row r="12">
      <c r="A12" s="2" t="inlineStr">
        <is>
          <t>Civilizer / wisdom bearer</t>
        </is>
      </c>
      <c r="B12" s="2" t="inlineStr">
        <is>
          <t>Primeval sages and culture transmission</t>
        </is>
      </c>
      <c r="C12" s="2" t="inlineStr">
        <is>
          <t>Apkallu</t>
        </is>
      </c>
      <c r="D12" s="2" t="inlineStr">
        <is>
          <t>Mesopotamian</t>
        </is>
      </c>
      <c r="E12" s="2" t="inlineStr">
        <is>
          <t>Mesopotamia</t>
        </is>
      </c>
      <c r="F12" s="2" t="inlineStr">
        <is>
          <t>1st millennium BCE witness to earlier traditions</t>
        </is>
      </c>
      <c r="G12" s="2" t="inlineStr">
        <is>
          <t>Sage / demi-god</t>
        </is>
      </c>
      <c r="H12" s="2" t="inlineStr">
        <is>
          <t>Transmit rites, wisdom, technical knowledge</t>
        </is>
      </c>
      <c r="I12" s="2" t="inlineStr">
        <is>
          <t>Oannes; Watchers; Seven Sages traditions</t>
        </is>
      </c>
      <c r="J12" s="2" t="inlineStr">
        <is>
          <t>Apkallu texts / protective ritual corpus</t>
        </is>
      </c>
      <c r="K12" s="2" t="inlineStr">
        <is>
          <t>Assyrian-Babylonian reliefs and texts</t>
        </is>
      </c>
      <c r="L12" s="2" t="inlineStr">
        <is>
          <t>Structural parallel</t>
        </is>
      </c>
      <c r="M12" s="2" t="inlineStr">
        <is>
          <t>Hybrid sage figures used to explain transmission of knowledge</t>
        </is>
      </c>
      <c r="N12" s="2" t="inlineStr">
        <is>
          <t>ORACC</t>
        </is>
      </c>
      <c r="O12" s="2" t="inlineStr">
        <is>
          <t>https://oracc.museum.upenn.edu/</t>
        </is>
      </c>
      <c r="P12" s="2" t="inlineStr">
        <is>
          <t>ORACC</t>
        </is>
      </c>
      <c r="Q12" s="2" t="inlineStr">
        <is>
          <t>https://oracc.museum.upenn.edu/</t>
        </is>
      </c>
      <c r="R12" s="2" t="inlineStr">
        <is>
          <t>British Museum Collection</t>
        </is>
      </c>
      <c r="S12" s="2" t="inlineStr">
        <is>
          <t>https://www.britishmuseum.org/collection</t>
        </is>
      </c>
      <c r="T12" s="2" t="inlineStr">
        <is>
          <t>Apkallu / antediluvian sages traditions</t>
        </is>
      </c>
      <c r="U12" s="2" t="inlineStr">
        <is>
          <t>Important for “civilization was taught” motif.</t>
        </is>
      </c>
    </row>
    <row r="13">
      <c r="A13" s="2" t="inlineStr">
        <is>
          <t>Civilizer / wisdom bearer</t>
        </is>
      </c>
      <c r="B13" s="2" t="inlineStr">
        <is>
          <t>Writing, measurement, sacred knowledge</t>
        </is>
      </c>
      <c r="C13" s="2" t="inlineStr">
        <is>
          <t>Thoth</t>
        </is>
      </c>
      <c r="D13" s="2" t="inlineStr">
        <is>
          <t>Egyptian</t>
        </is>
      </c>
      <c r="E13" s="2" t="inlineStr">
        <is>
          <t>Egypt</t>
        </is>
      </c>
      <c r="F13" s="2" t="inlineStr">
        <is>
          <t>3rd–1st millennium BCE witnesses</t>
        </is>
      </c>
      <c r="G13" s="2" t="inlineStr">
        <is>
          <t>God / scribe</t>
        </is>
      </c>
      <c r="H13" s="2" t="inlineStr">
        <is>
          <t>Writing, wisdom, reckoning, divine speech</t>
        </is>
      </c>
      <c r="I13" s="2" t="inlineStr">
        <is>
          <t>Enki; Oannes; Hermes; Prometheus</t>
        </is>
      </c>
      <c r="J13" s="2" t="inlineStr">
        <is>
          <t>Temple inscriptions; funerary texts; wisdom texts</t>
        </is>
      </c>
      <c r="K13" s="2" t="inlineStr">
        <is>
          <t>Hermopolis / temple corpus</t>
        </is>
      </c>
      <c r="L13" s="2" t="inlineStr">
        <is>
          <t>Structural parallel</t>
        </is>
      </c>
      <c r="M13" s="2" t="inlineStr">
        <is>
          <t>Scribal wisdom and cosmic ordering overlap with Enki-type functions</t>
        </is>
      </c>
      <c r="N13" s="2" t="inlineStr">
        <is>
          <t>TLA</t>
        </is>
      </c>
      <c r="O13" s="2" t="inlineStr">
        <is>
          <t>https://thesaurus-linguae-aegyptiae.de/home</t>
        </is>
      </c>
      <c r="P13" s="2" t="inlineStr">
        <is>
          <t>TLA</t>
        </is>
      </c>
      <c r="Q13" s="2" t="inlineStr">
        <is>
          <t>https://thesaurus-linguae-aegyptiae.de/home</t>
        </is>
      </c>
      <c r="R13" s="2" t="inlineStr">
        <is>
          <t>British Museum Collection</t>
        </is>
      </c>
      <c r="S13" s="2" t="inlineStr">
        <is>
          <t>https://www.britishmuseum.org/collection</t>
        </is>
      </c>
      <c r="T13" s="2" t="inlineStr"/>
      <c r="U13" s="2" t="inlineStr">
        <is>
          <t>Use TLA for texts and museum collections for ibis/baboon imagery.</t>
        </is>
      </c>
    </row>
    <row r="14">
      <c r="A14" s="2" t="inlineStr">
        <is>
          <t>Civilizer / wisdom bearer</t>
        </is>
      </c>
      <c r="B14" s="2" t="inlineStr">
        <is>
          <t>Crafts, divine speech, world ordering</t>
        </is>
      </c>
      <c r="C14" s="2" t="inlineStr">
        <is>
          <t>Ptah</t>
        </is>
      </c>
      <c r="D14" s="2" t="inlineStr">
        <is>
          <t>Egyptian</t>
        </is>
      </c>
      <c r="E14" s="2" t="inlineStr">
        <is>
          <t>Egypt</t>
        </is>
      </c>
      <c r="F14" s="2" t="inlineStr">
        <is>
          <t>Old Kingdom onward</t>
        </is>
      </c>
      <c r="G14" s="2" t="inlineStr">
        <is>
          <t>Creator / civilizer</t>
        </is>
      </c>
      <c r="H14" s="2" t="inlineStr">
        <is>
          <t>Creates by heart and tongue; patron of craft</t>
        </is>
      </c>
      <c r="I14" s="2" t="inlineStr">
        <is>
          <t>Enki; Logos traditions</t>
        </is>
      </c>
      <c r="J14" s="2" t="inlineStr">
        <is>
          <t>Memphite Theology / Shabaka Stone</t>
        </is>
      </c>
      <c r="K14" s="2" t="inlineStr">
        <is>
          <t>Memphis / Shabaka Stone</t>
        </is>
      </c>
      <c r="L14" s="2" t="inlineStr">
        <is>
          <t>Structural parallel</t>
        </is>
      </c>
      <c r="M14" s="2" t="inlineStr">
        <is>
          <t>Speech-creation plus craft patronage makes Ptah a major comparison node</t>
        </is>
      </c>
      <c r="N14" s="2" t="inlineStr">
        <is>
          <t>TLA</t>
        </is>
      </c>
      <c r="O14" s="2" t="inlineStr">
        <is>
          <t>https://thesaurus-linguae-aegyptiae.de/home</t>
        </is>
      </c>
      <c r="P14" s="2" t="inlineStr">
        <is>
          <t>TLA</t>
        </is>
      </c>
      <c r="Q14" s="2" t="inlineStr">
        <is>
          <t>https://thesaurus-linguae-aegyptiae.de/home</t>
        </is>
      </c>
      <c r="R14" s="2" t="inlineStr">
        <is>
          <t>British Museum Collection</t>
        </is>
      </c>
      <c r="S14" s="2" t="inlineStr">
        <is>
          <t>https://www.britishmuseum.org/collection</t>
        </is>
      </c>
      <c r="T14" s="2" t="inlineStr"/>
      <c r="U14" s="2" t="inlineStr">
        <is>
          <t>Strong for speech-as-technology thread.</t>
        </is>
      </c>
    </row>
    <row r="15">
      <c r="A15" s="2" t="inlineStr">
        <is>
          <t>Civilizer / wisdom bearer</t>
        </is>
      </c>
      <c r="B15" s="2" t="inlineStr">
        <is>
          <t>Kingship, agriculture, restoration</t>
        </is>
      </c>
      <c r="C15" s="2" t="inlineStr">
        <is>
          <t>Osiris</t>
        </is>
      </c>
      <c r="D15" s="2" t="inlineStr">
        <is>
          <t>Egyptian</t>
        </is>
      </c>
      <c r="E15" s="2" t="inlineStr">
        <is>
          <t>Egypt</t>
        </is>
      </c>
      <c r="F15" s="2" t="inlineStr">
        <is>
          <t>Old Kingdom onward</t>
        </is>
      </c>
      <c r="G15" s="2" t="inlineStr">
        <is>
          <t>Divine king / civilizer</t>
        </is>
      </c>
      <c r="H15" s="2" t="inlineStr">
        <is>
          <t>Brings ordered kingship and agriculture, dies and returns</t>
        </is>
      </c>
      <c r="I15" s="2" t="inlineStr">
        <is>
          <t>Viracocha; Quetzalcoatl (broadly symbolic); Dumuzi</t>
        </is>
      </c>
      <c r="J15" s="2" t="inlineStr">
        <is>
          <t>Pyramid Texts; Coffin Texts; temple material</t>
        </is>
      </c>
      <c r="K15" s="2" t="inlineStr">
        <is>
          <t>Abydos; temple corpus</t>
        </is>
      </c>
      <c r="L15" s="2" t="inlineStr">
        <is>
          <t>Structural parallel</t>
        </is>
      </c>
      <c r="M15" s="2" t="inlineStr">
        <is>
          <t>More resurrection-kingship than direct same-person parallel</t>
        </is>
      </c>
      <c r="N15" s="2" t="inlineStr">
        <is>
          <t>TLA</t>
        </is>
      </c>
      <c r="O15" s="2" t="inlineStr">
        <is>
          <t>https://thesaurus-linguae-aegyptiae.de/home</t>
        </is>
      </c>
      <c r="P15" s="2" t="inlineStr">
        <is>
          <t>TLA</t>
        </is>
      </c>
      <c r="Q15" s="2" t="inlineStr">
        <is>
          <t>https://thesaurus-linguae-aegyptiae.de/home</t>
        </is>
      </c>
      <c r="R15" s="2" t="inlineStr">
        <is>
          <t>British Museum Collection</t>
        </is>
      </c>
      <c r="S15" s="2" t="inlineStr">
        <is>
          <t>https://www.britishmuseum.org/collection</t>
        </is>
      </c>
      <c r="T15" s="2" t="inlineStr">
        <is>
          <t>Osiris Myth Cycle</t>
        </is>
      </c>
      <c r="U15" s="2" t="inlineStr">
        <is>
          <t>Good for sacral kingship and afterlife order.</t>
        </is>
      </c>
    </row>
    <row r="16">
      <c r="A16" s="2" t="inlineStr">
        <is>
          <t>Civilizer / wisdom bearer</t>
        </is>
      </c>
      <c r="B16" s="2" t="inlineStr">
        <is>
          <t>Fire / craft / stolen knowledge</t>
        </is>
      </c>
      <c r="C16" s="2" t="inlineStr">
        <is>
          <t>Prometheus</t>
        </is>
      </c>
      <c r="D16" s="2" t="inlineStr">
        <is>
          <t>Greek</t>
        </is>
      </c>
      <c r="E16" s="2" t="inlineStr">
        <is>
          <t>Aegean / Greece / Italy</t>
        </is>
      </c>
      <c r="F16" s="2" t="inlineStr">
        <is>
          <t>Archaic Greek textual witnesses</t>
        </is>
      </c>
      <c r="G16" s="2" t="inlineStr">
        <is>
          <t>Culture hero</t>
        </is>
      </c>
      <c r="H16" s="2" t="inlineStr">
        <is>
          <t>Brings fire and technical capacity to humankind</t>
        </is>
      </c>
      <c r="I16" s="2" t="inlineStr">
        <is>
          <t>Enki; Oannes; Quetzalcoatl</t>
        </is>
      </c>
      <c r="J16" s="2" t="inlineStr">
        <is>
          <t>Hesiod; later Greek drama</t>
        </is>
      </c>
      <c r="K16" s="2" t="inlineStr">
        <is>
          <t>Greek literary corpus</t>
        </is>
      </c>
      <c r="L16" s="2" t="inlineStr">
        <is>
          <t>Structural parallel</t>
        </is>
      </c>
      <c r="M16" s="2" t="inlineStr">
        <is>
          <t>Knowledge-gift motif aligns, but rebellion motif is distinct</t>
        </is>
      </c>
      <c r="N16" s="2" t="inlineStr">
        <is>
          <t>Perseus</t>
        </is>
      </c>
      <c r="O16" s="2" t="inlineStr">
        <is>
          <t>https://www.perseus.tufts.edu/hopper/</t>
        </is>
      </c>
      <c r="P16" s="2" t="inlineStr">
        <is>
          <t>Perseus</t>
        </is>
      </c>
      <c r="Q16" s="2" t="inlineStr">
        <is>
          <t>https://www.perseus.tufts.edu/hopper/</t>
        </is>
      </c>
      <c r="R16" s="2" t="inlineStr">
        <is>
          <t>Perseus Art &amp; Archaeology</t>
        </is>
      </c>
      <c r="S16" s="2" t="inlineStr">
        <is>
          <t>https://perseus.pubpub.org/</t>
        </is>
      </c>
      <c r="T16" s="2" t="inlineStr"/>
      <c r="U16" s="2" t="inlineStr">
        <is>
          <t>Good for technology gift motif.</t>
        </is>
      </c>
    </row>
    <row r="17">
      <c r="A17" s="2" t="inlineStr">
        <is>
          <t>Civilizer / wisdom bearer</t>
        </is>
      </c>
      <c r="B17" s="2" t="inlineStr">
        <is>
          <t>Feathered-serpent teacher</t>
        </is>
      </c>
      <c r="C17" s="2" t="inlineStr">
        <is>
          <t>Quetzalcoatl</t>
        </is>
      </c>
      <c r="D17" s="2" t="inlineStr">
        <is>
          <t>Mesoamerican</t>
        </is>
      </c>
      <c r="E17" s="2" t="inlineStr">
        <is>
          <t>Mesoamerica</t>
        </is>
      </c>
      <c r="F17" s="2" t="inlineStr">
        <is>
          <t>Late pre-Columbian and early colonial witnesses to older traditions</t>
        </is>
      </c>
      <c r="G17" s="2" t="inlineStr">
        <is>
          <t>Culture hero / god</t>
        </is>
      </c>
      <c r="H17" s="2" t="inlineStr">
        <is>
          <t>Order, knowledge, wind, priesthood, calendar associations</t>
        </is>
      </c>
      <c r="I17" s="2" t="inlineStr">
        <is>
          <t>Viracocha; Oannes; Thoth</t>
        </is>
      </c>
      <c r="J17" s="2" t="inlineStr">
        <is>
          <t>Codices and Nahua traditions</t>
        </is>
      </c>
      <c r="K17" s="2" t="inlineStr">
        <is>
          <t>Central Mexican codices and sites</t>
        </is>
      </c>
      <c r="L17" s="2" t="inlineStr">
        <is>
          <t>Structural parallel</t>
        </is>
      </c>
      <c r="M17" s="2" t="inlineStr">
        <is>
          <t>Civilizer-teacher profile is the main basis of comparison</t>
        </is>
      </c>
      <c r="N17" s="2" t="inlineStr">
        <is>
          <t>FAMSI</t>
        </is>
      </c>
      <c r="O17" s="2" t="inlineStr">
        <is>
          <t>https://www.famsi.org/mayawriting/codices/</t>
        </is>
      </c>
      <c r="P17" s="2" t="inlineStr">
        <is>
          <t>FAMSI</t>
        </is>
      </c>
      <c r="Q17" s="2" t="inlineStr">
        <is>
          <t>https://www.famsi.org/mayawriting/codices/</t>
        </is>
      </c>
      <c r="R17" s="2" t="inlineStr">
        <is>
          <t>Smithsonian Open Access</t>
        </is>
      </c>
      <c r="S17" s="2" t="inlineStr">
        <is>
          <t>https://www.si.edu/openaccess</t>
        </is>
      </c>
      <c r="T17" s="2" t="inlineStr">
        <is>
          <t>Quetzalcoatl / Kukulkan traditions</t>
        </is>
      </c>
      <c r="U17" s="2" t="inlineStr">
        <is>
          <t>Later witness status should stay flagged.</t>
        </is>
      </c>
    </row>
    <row r="18">
      <c r="A18" s="2" t="inlineStr">
        <is>
          <t>Civilizer / wisdom bearer</t>
        </is>
      </c>
      <c r="B18" s="2" t="inlineStr">
        <is>
          <t>Creator / wanderer / teacher</t>
        </is>
      </c>
      <c r="C18" s="2" t="inlineStr">
        <is>
          <t>Viracocha</t>
        </is>
      </c>
      <c r="D18" s="2" t="inlineStr">
        <is>
          <t>Andean</t>
        </is>
      </c>
      <c r="E18" s="2" t="inlineStr">
        <is>
          <t>Andes / South America</t>
        </is>
      </c>
      <c r="F18" s="2" t="inlineStr">
        <is>
          <t>Colonial textual witnesses to older Andean tradition</t>
        </is>
      </c>
      <c r="G18" s="2" t="inlineStr">
        <is>
          <t>Culture hero / creator</t>
        </is>
      </c>
      <c r="H18" s="2" t="inlineStr">
        <is>
          <t>Creates order, travels, instructs, departs</t>
        </is>
      </c>
      <c r="I18" s="2" t="inlineStr">
        <is>
          <t>Quetzalcoatl; Oannes; Enki</t>
        </is>
      </c>
      <c r="J18" s="2" t="inlineStr">
        <is>
          <t>Colonial chronicles preserving Inca/Andean traditions</t>
        </is>
      </c>
      <c r="K18" s="2" t="inlineStr">
        <is>
          <t>Lake Titicaca / Tiwanaku orbit</t>
        </is>
      </c>
      <c r="L18" s="2" t="inlineStr">
        <is>
          <t>Structural parallel</t>
        </is>
      </c>
      <c r="M18" s="2" t="inlineStr">
        <is>
          <t>Teacher-wanderer motif drives the comparison, not proven historical identity</t>
        </is>
      </c>
      <c r="N18" s="2" t="inlineStr">
        <is>
          <t>Internet Archive / translated chronicles</t>
        </is>
      </c>
      <c r="O18" s="2" t="inlineStr">
        <is>
          <t>https://archive.org/</t>
        </is>
      </c>
      <c r="P18" s="2" t="inlineStr">
        <is>
          <t>Internet Archive / translated chronicles</t>
        </is>
      </c>
      <c r="Q18" s="2" t="inlineStr">
        <is>
          <t>https://archive.org/</t>
        </is>
      </c>
      <c r="R18" s="2" t="inlineStr">
        <is>
          <t>Smithsonian Open Access</t>
        </is>
      </c>
      <c r="S18" s="2" t="inlineStr">
        <is>
          <t>https://www.si.edu/openaccess</t>
        </is>
      </c>
      <c r="T18" s="2" t="inlineStr">
        <is>
          <t>Viracocha traditions; Viracocha origin traditions</t>
        </is>
      </c>
      <c r="U18" s="2" t="inlineStr">
        <is>
          <t>Use with heavy witness-date caution.</t>
        </is>
      </c>
    </row>
    <row r="19">
      <c r="A19" s="2" t="inlineStr">
        <is>
          <t>Civilizer / wisdom bearer</t>
        </is>
      </c>
      <c r="B19" s="2" t="inlineStr">
        <is>
          <t>Culture founder, writing, marriage order</t>
        </is>
      </c>
      <c r="C19" s="2" t="inlineStr">
        <is>
          <t>Fu Xi</t>
        </is>
      </c>
      <c r="D19" s="2" t="inlineStr">
        <is>
          <t>Chinese</t>
        </is>
      </c>
      <c r="E19" s="2" t="inlineStr">
        <is>
          <t>China</t>
        </is>
      </c>
      <c r="F19" s="2" t="inlineStr">
        <is>
          <t>Classical textual witnesses</t>
        </is>
      </c>
      <c r="G19" s="2" t="inlineStr">
        <is>
          <t>Culture hero</t>
        </is>
      </c>
      <c r="H19" s="2" t="inlineStr">
        <is>
          <t>Introduces trigrams, order, hunting/fishing, social rules</t>
        </is>
      </c>
      <c r="I19" s="2" t="inlineStr">
        <is>
          <t>Thoth; Oannes; Quetzalcoatl</t>
        </is>
      </c>
      <c r="J19" s="2" t="inlineStr">
        <is>
          <t>Classical Chinese texts</t>
        </is>
      </c>
      <c r="K19" s="2" t="inlineStr">
        <is>
          <t>Chinese textual corpus</t>
        </is>
      </c>
      <c r="L19" s="2" t="inlineStr">
        <is>
          <t>Structural parallel</t>
        </is>
      </c>
      <c r="M19" s="2" t="inlineStr">
        <is>
          <t>Founding-knowledge pattern is the main comparison point</t>
        </is>
      </c>
      <c r="N19" s="2" t="inlineStr">
        <is>
          <t>Chinese Text Project</t>
        </is>
      </c>
      <c r="O19" s="2" t="inlineStr">
        <is>
          <t>https://ctext.org/</t>
        </is>
      </c>
      <c r="P19" s="2" t="inlineStr">
        <is>
          <t>Chinese Text Project</t>
        </is>
      </c>
      <c r="Q19" s="2" t="inlineStr">
        <is>
          <t>https://ctext.org/</t>
        </is>
      </c>
      <c r="R19" s="2" t="inlineStr">
        <is>
          <t>Smithsonian Open Access</t>
        </is>
      </c>
      <c r="S19" s="2" t="inlineStr">
        <is>
          <t>https://www.si.edu/openaccess</t>
        </is>
      </c>
      <c r="T19" s="2" t="inlineStr"/>
      <c r="U19" s="2" t="inlineStr">
        <is>
          <t>Strong for East Asian culture-founder strand.</t>
        </is>
      </c>
    </row>
    <row r="20">
      <c r="A20" s="2" t="inlineStr">
        <is>
          <t>Civilizer / wisdom bearer</t>
        </is>
      </c>
      <c r="B20" s="2" t="inlineStr">
        <is>
          <t>Founding emperor, arts and order</t>
        </is>
      </c>
      <c r="C20" s="2" t="inlineStr">
        <is>
          <t>Huangdi</t>
        </is>
      </c>
      <c r="D20" s="2" t="inlineStr">
        <is>
          <t>Chinese</t>
        </is>
      </c>
      <c r="E20" s="2" t="inlineStr">
        <is>
          <t>China</t>
        </is>
      </c>
      <c r="F20" s="2" t="inlineStr">
        <is>
          <t>Classical textual witnesses</t>
        </is>
      </c>
      <c r="G20" s="2" t="inlineStr">
        <is>
          <t>Culture hero / sacral king</t>
        </is>
      </c>
      <c r="H20" s="2" t="inlineStr">
        <is>
          <t>Medicine, governance, order, cosmic legitimacy</t>
        </is>
      </c>
      <c r="I20" s="2" t="inlineStr">
        <is>
          <t>Osiris; Menes; Quetzalcoatl</t>
        </is>
      </c>
      <c r="J20" s="2" t="inlineStr">
        <is>
          <t>Classical Chinese texts / early histories</t>
        </is>
      </c>
      <c r="K20" s="2" t="inlineStr">
        <is>
          <t>Chinese historical-myth corpus</t>
        </is>
      </c>
      <c r="L20" s="2" t="inlineStr">
        <is>
          <t>Structural parallel</t>
        </is>
      </c>
      <c r="M20" s="2" t="inlineStr">
        <is>
          <t>Blend of mythic founder and civilizing ruler</t>
        </is>
      </c>
      <c r="N20" s="2" t="inlineStr">
        <is>
          <t>Chinese Text Project</t>
        </is>
      </c>
      <c r="O20" s="2" t="inlineStr">
        <is>
          <t>https://ctext.org/</t>
        </is>
      </c>
      <c r="P20" s="2" t="inlineStr">
        <is>
          <t>Chinese Text Project</t>
        </is>
      </c>
      <c r="Q20" s="2" t="inlineStr">
        <is>
          <t>https://ctext.org/</t>
        </is>
      </c>
      <c r="R20" s="2" t="inlineStr">
        <is>
          <t>Smithsonian Open Access</t>
        </is>
      </c>
      <c r="S20" s="2" t="inlineStr">
        <is>
          <t>https://www.si.edu/openaccess</t>
        </is>
      </c>
      <c r="T20" s="2" t="inlineStr"/>
      <c r="U20" s="2" t="inlineStr">
        <is>
          <t>Useful founder-king parallel.</t>
        </is>
      </c>
    </row>
    <row r="21">
      <c r="A21" s="2" t="inlineStr">
        <is>
          <t>Civilizer / wisdom bearer</t>
        </is>
      </c>
      <c r="B21" s="2" t="inlineStr">
        <is>
          <t>Law, kingship, agriculture</t>
        </is>
      </c>
      <c r="C21" s="2" t="inlineStr">
        <is>
          <t>Yu the Great</t>
        </is>
      </c>
      <c r="D21" s="2" t="inlineStr">
        <is>
          <t>Chinese</t>
        </is>
      </c>
      <c r="E21" s="2" t="inlineStr">
        <is>
          <t>China</t>
        </is>
      </c>
      <c r="F21" s="2" t="inlineStr">
        <is>
          <t>Late BCE/early imperial witnesses to older tradition</t>
        </is>
      </c>
      <c r="G21" s="2" t="inlineStr">
        <is>
          <t>Flood tamer / founder</t>
        </is>
      </c>
      <c r="H21" s="2" t="inlineStr">
        <is>
          <t>Tames waters, founds order</t>
        </is>
      </c>
      <c r="I21" s="2" t="inlineStr">
        <is>
          <t>Manu; Noah (cataclysm response); Menes</t>
        </is>
      </c>
      <c r="J21" s="2" t="inlineStr">
        <is>
          <t>Shujing; Shiji tradition</t>
        </is>
      </c>
      <c r="K21" s="2" t="inlineStr">
        <is>
          <t>Chinese flood-control legend sphere</t>
        </is>
      </c>
      <c r="L21" s="2" t="inlineStr">
        <is>
          <t>Structural parallel</t>
        </is>
      </c>
      <c r="M21" s="2" t="inlineStr">
        <is>
          <t>Closer to post-flood organizer than ark survivor</t>
        </is>
      </c>
      <c r="N21" s="2" t="inlineStr">
        <is>
          <t>Chinese Text Project</t>
        </is>
      </c>
      <c r="O21" s="2" t="inlineStr">
        <is>
          <t>https://ctext.org/</t>
        </is>
      </c>
      <c r="P21" s="2" t="inlineStr">
        <is>
          <t>Chinese Text Project</t>
        </is>
      </c>
      <c r="Q21" s="2" t="inlineStr">
        <is>
          <t>https://ctext.org/</t>
        </is>
      </c>
      <c r="R21" s="2" t="inlineStr">
        <is>
          <t>Smithsonian Open Access</t>
        </is>
      </c>
      <c r="S21" s="2" t="inlineStr">
        <is>
          <t>https://www.si.edu/openaccess</t>
        </is>
      </c>
      <c r="T21" s="2" t="inlineStr">
        <is>
          <t>Yu the Great and flood-control tradition</t>
        </is>
      </c>
      <c r="U21" s="2" t="inlineStr">
        <is>
          <t>Key Chinese catastrophe-order figure.</t>
        </is>
      </c>
    </row>
    <row r="22">
      <c r="A22" s="2" t="inlineStr">
        <is>
          <t>Creator / primeval order</t>
        </is>
      </c>
      <c r="B22" s="2" t="inlineStr">
        <is>
          <t>Primeval waters and generation</t>
        </is>
      </c>
      <c r="C22" s="2" t="inlineStr">
        <is>
          <t>Apsu</t>
        </is>
      </c>
      <c r="D22" s="2" t="inlineStr">
        <is>
          <t>Mesopotamian</t>
        </is>
      </c>
      <c r="E22" s="2" t="inlineStr">
        <is>
          <t>Mesopotamia</t>
        </is>
      </c>
      <c r="F22" s="2" t="inlineStr">
        <is>
          <t>1st millennium BCE standard Babylonian witness</t>
        </is>
      </c>
      <c r="G22" s="2" t="inlineStr">
        <is>
          <t>Primeval being</t>
        </is>
      </c>
      <c r="H22" s="2" t="inlineStr">
        <is>
          <t>Freshwater deep / primordial source</t>
        </is>
      </c>
      <c r="I22" s="2" t="inlineStr">
        <is>
          <t>Nun; primeval waters motifs globally</t>
        </is>
      </c>
      <c r="J22" s="2" t="inlineStr">
        <is>
          <t>Enuma Elish</t>
        </is>
      </c>
      <c r="K22" s="2" t="inlineStr">
        <is>
          <t>Babylonian creation corpus</t>
        </is>
      </c>
      <c r="L22" s="2" t="inlineStr">
        <is>
          <t>Structural parallel</t>
        </is>
      </c>
      <c r="M22" s="2" t="inlineStr">
        <is>
          <t>One of the clearest primeval-water witnesses</t>
        </is>
      </c>
      <c r="N22" s="2" t="inlineStr">
        <is>
          <t>ORACC</t>
        </is>
      </c>
      <c r="O22" s="2" t="inlineStr">
        <is>
          <t>https://oracc.museum.upenn.edu/</t>
        </is>
      </c>
      <c r="P22" s="2" t="inlineStr">
        <is>
          <t>ORACC</t>
        </is>
      </c>
      <c r="Q22" s="2" t="inlineStr">
        <is>
          <t>https://oracc.museum.upenn.edu/</t>
        </is>
      </c>
      <c r="R22" s="2" t="inlineStr">
        <is>
          <t>British Museum Collection</t>
        </is>
      </c>
      <c r="S22" s="2" t="inlineStr">
        <is>
          <t>https://www.britishmuseum.org/collection</t>
        </is>
      </c>
      <c r="T22" s="2" t="inlineStr"/>
      <c r="U22" s="2" t="inlineStr">
        <is>
          <t>Use with Tiamat as pair.</t>
        </is>
      </c>
    </row>
    <row r="23">
      <c r="A23" s="2" t="inlineStr">
        <is>
          <t>Creator / primeval order</t>
        </is>
      </c>
      <c r="B23" s="2" t="inlineStr">
        <is>
          <t>Primeval saltwater chaos</t>
        </is>
      </c>
      <c r="C23" s="2" t="inlineStr">
        <is>
          <t>Tiamat</t>
        </is>
      </c>
      <c r="D23" s="2" t="inlineStr">
        <is>
          <t>Mesopotamian</t>
        </is>
      </c>
      <c r="E23" s="2" t="inlineStr">
        <is>
          <t>Mesopotamia</t>
        </is>
      </c>
      <c r="F23" s="2" t="inlineStr">
        <is>
          <t>1st millennium BCE standard Babylonian witness</t>
        </is>
      </c>
      <c r="G23" s="2" t="inlineStr">
        <is>
          <t>Primeval being / chaos sea</t>
        </is>
      </c>
      <c r="H23" s="2" t="inlineStr">
        <is>
          <t>Saltwater chaos prior to ordered cosmos</t>
        </is>
      </c>
      <c r="I23" s="2" t="inlineStr">
        <is>
          <t>Chaos; Nun; Tehom analog discussions</t>
        </is>
      </c>
      <c r="J23" s="2" t="inlineStr">
        <is>
          <t>Enuma Elish</t>
        </is>
      </c>
      <c r="K23" s="2" t="inlineStr">
        <is>
          <t>Babylonian creation corpus</t>
        </is>
      </c>
      <c r="L23" s="2" t="inlineStr">
        <is>
          <t>Structural parallel</t>
        </is>
      </c>
      <c r="M23" s="2" t="inlineStr">
        <is>
          <t>Main comparison point is chaos-sea before ordering</t>
        </is>
      </c>
      <c r="N23" s="2" t="inlineStr">
        <is>
          <t>ORACC</t>
        </is>
      </c>
      <c r="O23" s="2" t="inlineStr">
        <is>
          <t>https://oracc.museum.upenn.edu/</t>
        </is>
      </c>
      <c r="P23" s="2" t="inlineStr">
        <is>
          <t>ORACC</t>
        </is>
      </c>
      <c r="Q23" s="2" t="inlineStr">
        <is>
          <t>https://oracc.museum.upenn.edu/</t>
        </is>
      </c>
      <c r="R23" s="2" t="inlineStr">
        <is>
          <t>British Museum Collection</t>
        </is>
      </c>
      <c r="S23" s="2" t="inlineStr">
        <is>
          <t>https://www.britishmuseum.org/collection</t>
        </is>
      </c>
      <c r="T23" s="2" t="inlineStr"/>
      <c r="U23" s="2" t="inlineStr">
        <is>
          <t>Often important in biblical-comparative work.</t>
        </is>
      </c>
    </row>
    <row r="24">
      <c r="A24" s="2" t="inlineStr">
        <is>
          <t>Creator / primeval order</t>
        </is>
      </c>
      <c r="B24" s="2" t="inlineStr">
        <is>
          <t>Order from chaos, cosmic kingship</t>
        </is>
      </c>
      <c r="C24" s="2" t="inlineStr">
        <is>
          <t>Marduk</t>
        </is>
      </c>
      <c r="D24" s="2" t="inlineStr">
        <is>
          <t>Babylonian</t>
        </is>
      </c>
      <c r="E24" s="2" t="inlineStr">
        <is>
          <t>Mesopotamia</t>
        </is>
      </c>
      <c r="F24" s="2" t="inlineStr">
        <is>
          <t>1st millennium BCE witness preserving earlier material</t>
        </is>
      </c>
      <c r="G24" s="2" t="inlineStr">
        <is>
          <t>Creator / warrior king</t>
        </is>
      </c>
      <c r="H24" s="2" t="inlineStr">
        <is>
          <t>Defeats chaos and structures cosmos</t>
        </is>
      </c>
      <c r="I24" s="2" t="inlineStr">
        <is>
          <t>Zeus; Indra; storm-god orderers</t>
        </is>
      </c>
      <c r="J24" s="2" t="inlineStr">
        <is>
          <t>Enuma Elish</t>
        </is>
      </c>
      <c r="K24" s="2" t="inlineStr">
        <is>
          <t>Babylonian temple-literary corpus</t>
        </is>
      </c>
      <c r="L24" s="2" t="inlineStr">
        <is>
          <t>Structural parallel</t>
        </is>
      </c>
      <c r="M24" s="2" t="inlineStr">
        <is>
          <t>Victory-over-chaos pattern recurs widely</t>
        </is>
      </c>
      <c r="N24" s="2" t="inlineStr">
        <is>
          <t>ORACC</t>
        </is>
      </c>
      <c r="O24" s="2" t="inlineStr">
        <is>
          <t>https://oracc.museum.upenn.edu/</t>
        </is>
      </c>
      <c r="P24" s="2" t="inlineStr">
        <is>
          <t>ORACC</t>
        </is>
      </c>
      <c r="Q24" s="2" t="inlineStr">
        <is>
          <t>https://oracc.museum.upenn.edu/</t>
        </is>
      </c>
      <c r="R24" s="2" t="inlineStr">
        <is>
          <t>British Museum Collection</t>
        </is>
      </c>
      <c r="S24" s="2" t="inlineStr">
        <is>
          <t>https://www.britishmuseum.org/collection</t>
        </is>
      </c>
      <c r="T24" s="2" t="inlineStr"/>
      <c r="U24" s="2" t="inlineStr">
        <is>
          <t>Useful for order-from-chaos comparisons.</t>
        </is>
      </c>
    </row>
    <row r="25">
      <c r="A25" s="2" t="inlineStr">
        <is>
          <t>Creator / primeval order</t>
        </is>
      </c>
      <c r="B25" s="2" t="inlineStr">
        <is>
          <t>Self-generation from primeval waters</t>
        </is>
      </c>
      <c r="C25" s="2" t="inlineStr">
        <is>
          <t>Atum</t>
        </is>
      </c>
      <c r="D25" s="2" t="inlineStr">
        <is>
          <t>Egyptian</t>
        </is>
      </c>
      <c r="E25" s="2" t="inlineStr">
        <is>
          <t>Egypt</t>
        </is>
      </c>
      <c r="F25" s="2" t="inlineStr">
        <is>
          <t>Old Kingdom onward</t>
        </is>
      </c>
      <c r="G25" s="2" t="inlineStr">
        <is>
          <t>Creator god</t>
        </is>
      </c>
      <c r="H25" s="2" t="inlineStr">
        <is>
          <t>Self-generated source of first emanations</t>
        </is>
      </c>
      <c r="I25" s="2" t="inlineStr">
        <is>
          <t>Prajapati; Chaos-to-order models</t>
        </is>
      </c>
      <c r="J25" s="2" t="inlineStr">
        <is>
          <t>Pyramid Texts; Heliopolitan theology</t>
        </is>
      </c>
      <c r="K25" s="2" t="inlineStr">
        <is>
          <t>Heliopolis / Egyptian theological corpus</t>
        </is>
      </c>
      <c r="L25" s="2" t="inlineStr">
        <is>
          <t>Structural parallel</t>
        </is>
      </c>
      <c r="M25" s="2" t="inlineStr">
        <is>
          <t>Creator-by-emanation theme contrasts with combat creation models</t>
        </is>
      </c>
      <c r="N25" s="2" t="inlineStr">
        <is>
          <t>TLA</t>
        </is>
      </c>
      <c r="O25" s="2" t="inlineStr">
        <is>
          <t>https://thesaurus-linguae-aegyptiae.de/home</t>
        </is>
      </c>
      <c r="P25" s="2" t="inlineStr">
        <is>
          <t>TLA</t>
        </is>
      </c>
      <c r="Q25" s="2" t="inlineStr">
        <is>
          <t>https://thesaurus-linguae-aegyptiae.de/home</t>
        </is>
      </c>
      <c r="R25" s="2" t="inlineStr">
        <is>
          <t>British Museum Collection</t>
        </is>
      </c>
      <c r="S25" s="2" t="inlineStr">
        <is>
          <t>https://www.britishmuseum.org/collection</t>
        </is>
      </c>
      <c r="T25" s="2" t="inlineStr">
        <is>
          <t>Pyramid Texts on Atum and the primeval mound</t>
        </is>
      </c>
      <c r="U25" s="2" t="inlineStr">
        <is>
          <t>Important non-combat creation pattern.</t>
        </is>
      </c>
    </row>
    <row r="26">
      <c r="A26" s="2" t="inlineStr">
        <is>
          <t>Creator / primeval order</t>
        </is>
      </c>
      <c r="B26" s="2" t="inlineStr">
        <is>
          <t>Primeval waters</t>
        </is>
      </c>
      <c r="C26" s="2" t="inlineStr">
        <is>
          <t>Nun</t>
        </is>
      </c>
      <c r="D26" s="2" t="inlineStr">
        <is>
          <t>Egyptian</t>
        </is>
      </c>
      <c r="E26" s="2" t="inlineStr">
        <is>
          <t>Egypt</t>
        </is>
      </c>
      <c r="F26" s="2" t="inlineStr">
        <is>
          <t>Old Kingdom onward</t>
        </is>
      </c>
      <c r="G26" s="2" t="inlineStr">
        <is>
          <t>Primeval state</t>
        </is>
      </c>
      <c r="H26" s="2" t="inlineStr">
        <is>
          <t>Watery undifferentiated source</t>
        </is>
      </c>
      <c r="I26" s="2" t="inlineStr">
        <is>
          <t>Apsu; Tiamat; chaotic waters motifs</t>
        </is>
      </c>
      <c r="J26" s="2" t="inlineStr">
        <is>
          <t>Pyramid Texts / Egyptian cosmogonies</t>
        </is>
      </c>
      <c r="K26" s="2" t="inlineStr">
        <is>
          <t>Egyptian theological corpus</t>
        </is>
      </c>
      <c r="L26" s="2" t="inlineStr">
        <is>
          <t>Structural parallel</t>
        </is>
      </c>
      <c r="M26" s="2" t="inlineStr">
        <is>
          <t>Core water-before-creation theme</t>
        </is>
      </c>
      <c r="N26" s="2" t="inlineStr">
        <is>
          <t>TLA</t>
        </is>
      </c>
      <c r="O26" s="2" t="inlineStr">
        <is>
          <t>https://thesaurus-linguae-aegyptiae.de/home</t>
        </is>
      </c>
      <c r="P26" s="2" t="inlineStr">
        <is>
          <t>TLA</t>
        </is>
      </c>
      <c r="Q26" s="2" t="inlineStr">
        <is>
          <t>https://thesaurus-linguae-aegyptiae.de/home</t>
        </is>
      </c>
      <c r="R26" s="2" t="inlineStr">
        <is>
          <t>British Museum Collection</t>
        </is>
      </c>
      <c r="S26" s="2" t="inlineStr">
        <is>
          <t>https://www.britishmuseum.org/collection</t>
        </is>
      </c>
      <c r="T26" s="2" t="inlineStr"/>
      <c r="U26" s="2" t="inlineStr">
        <is>
          <t>Pair with Atum for Egyptian creation stack.</t>
        </is>
      </c>
    </row>
    <row r="27">
      <c r="A27" s="2" t="inlineStr">
        <is>
          <t>Creator / primeval order</t>
        </is>
      </c>
      <c r="B27" s="2" t="inlineStr">
        <is>
          <t>Creation by heart and tongue</t>
        </is>
      </c>
      <c r="C27" s="2" t="inlineStr">
        <is>
          <t>Ptah</t>
        </is>
      </c>
      <c r="D27" s="2" t="inlineStr">
        <is>
          <t>Egyptian</t>
        </is>
      </c>
      <c r="E27" s="2" t="inlineStr">
        <is>
          <t>Egypt</t>
        </is>
      </c>
      <c r="F27" s="2" t="inlineStr">
        <is>
          <t>Old Kingdom onward</t>
        </is>
      </c>
      <c r="G27" s="2" t="inlineStr">
        <is>
          <t>Creator god</t>
        </is>
      </c>
      <c r="H27" s="2" t="inlineStr">
        <is>
          <t>Brings world by thought and speech</t>
        </is>
      </c>
      <c r="I27" s="2" t="inlineStr">
        <is>
          <t>Logos; Brahman; word-creation motifs</t>
        </is>
      </c>
      <c r="J27" s="2" t="inlineStr">
        <is>
          <t>Memphite Theology / Shabaka Stone</t>
        </is>
      </c>
      <c r="K27" s="2" t="inlineStr">
        <is>
          <t>Memphis</t>
        </is>
      </c>
      <c r="L27" s="2" t="inlineStr">
        <is>
          <t>Structural parallel</t>
        </is>
      </c>
      <c r="M27" s="2" t="inlineStr">
        <is>
          <t>Speech-creation and conceptual creation make Ptah key for consciousness frameworks</t>
        </is>
      </c>
      <c r="N27" s="2" t="inlineStr">
        <is>
          <t>TLA</t>
        </is>
      </c>
      <c r="O27" s="2" t="inlineStr">
        <is>
          <t>https://thesaurus-linguae-aegyptiae.de/home</t>
        </is>
      </c>
      <c r="P27" s="2" t="inlineStr">
        <is>
          <t>TLA</t>
        </is>
      </c>
      <c r="Q27" s="2" t="inlineStr">
        <is>
          <t>https://thesaurus-linguae-aegyptiae.de/home</t>
        </is>
      </c>
      <c r="R27" s="2" t="inlineStr">
        <is>
          <t>British Museum Collection</t>
        </is>
      </c>
      <c r="S27" s="2" t="inlineStr">
        <is>
          <t>https://www.britishmuseum.org/collection</t>
        </is>
      </c>
      <c r="T27" s="2" t="inlineStr"/>
      <c r="U27" s="2" t="inlineStr">
        <is>
          <t>One of the strongest “thought/speech creation” witnesses.</t>
        </is>
      </c>
    </row>
    <row r="28">
      <c r="A28" s="2" t="inlineStr">
        <is>
          <t>Creator / primeval order</t>
        </is>
      </c>
      <c r="B28" s="2" t="inlineStr">
        <is>
          <t>Cosmic sacrifice</t>
        </is>
      </c>
      <c r="C28" s="2" t="inlineStr">
        <is>
          <t>Purusha</t>
        </is>
      </c>
      <c r="D28" s="2" t="inlineStr">
        <is>
          <t>Vedic</t>
        </is>
      </c>
      <c r="E28" s="2" t="inlineStr">
        <is>
          <t>South Asia</t>
        </is>
      </c>
      <c r="F28" s="2" t="inlineStr">
        <is>
          <t>Late BCE written witness to older oral layer</t>
        </is>
      </c>
      <c r="G28" s="2" t="inlineStr">
        <is>
          <t>Cosmic being</t>
        </is>
      </c>
      <c r="H28" s="2" t="inlineStr">
        <is>
          <t>World and social order emerge from sacrificed cosmic person</t>
        </is>
      </c>
      <c r="I28" s="2" t="inlineStr">
        <is>
          <t>Ymir; primordial being motifs</t>
        </is>
      </c>
      <c r="J28" s="2" t="inlineStr">
        <is>
          <t>Rigveda 10.90</t>
        </is>
      </c>
      <c r="K28" s="2" t="inlineStr">
        <is>
          <t>Vedic textual corpus</t>
        </is>
      </c>
      <c r="L28" s="2" t="inlineStr">
        <is>
          <t>Structural parallel</t>
        </is>
      </c>
      <c r="M28" s="2" t="inlineStr">
        <is>
          <t>Creation-through-dismemberment is comparative anchor</t>
        </is>
      </c>
      <c r="N28" s="2" t="inlineStr">
        <is>
          <t>Sacred Texts / translated Vedic corpus</t>
        </is>
      </c>
      <c r="O28" s="2" t="inlineStr">
        <is>
          <t>https://www.sacred-texts.com/hin/rigveda/</t>
        </is>
      </c>
      <c r="P28" s="2" t="inlineStr">
        <is>
          <t>Sacred Texts / translated Vedic corpus</t>
        </is>
      </c>
      <c r="Q28" s="2" t="inlineStr">
        <is>
          <t>https://www.sacred-texts.com/hin/rigveda/</t>
        </is>
      </c>
      <c r="R28" s="2" t="inlineStr">
        <is>
          <t>British Library / museum collections</t>
        </is>
      </c>
      <c r="S28" s="2" t="inlineStr">
        <is>
          <t>https://www.bl.uk/collection-guides</t>
        </is>
      </c>
      <c r="T28" s="2" t="inlineStr"/>
      <c r="U28" s="2" t="inlineStr">
        <is>
          <t>Strong for body-to-cosmos motif.</t>
        </is>
      </c>
    </row>
    <row r="29">
      <c r="A29" s="2" t="inlineStr">
        <is>
          <t>Creator / primeval order</t>
        </is>
      </c>
      <c r="B29" s="2" t="inlineStr">
        <is>
          <t>Questioning hymn of origins</t>
        </is>
      </c>
      <c r="C29" s="2" t="inlineStr">
        <is>
          <t>Nasadiya hymn</t>
        </is>
      </c>
      <c r="D29" s="2" t="inlineStr">
        <is>
          <t>Vedic</t>
        </is>
      </c>
      <c r="E29" s="2" t="inlineStr">
        <is>
          <t>South Asia</t>
        </is>
      </c>
      <c r="F29" s="2" t="inlineStr">
        <is>
          <t>Late BCE written witness to older oral layer</t>
        </is>
      </c>
      <c r="G29" s="2" t="inlineStr">
        <is>
          <t>Creation text</t>
        </is>
      </c>
      <c r="H29" s="2" t="inlineStr">
        <is>
          <t>Speculative hymn on pre-creation state</t>
        </is>
      </c>
      <c r="I29" s="2" t="inlineStr">
        <is>
          <t>Chaos/void creation traditions globally</t>
        </is>
      </c>
      <c r="J29" s="2" t="inlineStr">
        <is>
          <t>Rigveda 10.129</t>
        </is>
      </c>
      <c r="K29" s="2" t="inlineStr">
        <is>
          <t>Vedic textual corpus</t>
        </is>
      </c>
      <c r="L29" s="2" t="inlineStr">
        <is>
          <t>Structural parallel</t>
        </is>
      </c>
      <c r="M29" s="2" t="inlineStr">
        <is>
          <t>Useful because it preserves uncertainty, not just doctrinal certainty</t>
        </is>
      </c>
      <c r="N29" s="2" t="inlineStr">
        <is>
          <t>Sacred Texts / translated Vedic corpus</t>
        </is>
      </c>
      <c r="O29" s="2" t="inlineStr">
        <is>
          <t>https://www.sacred-texts.com/hin/rigveda/</t>
        </is>
      </c>
      <c r="P29" s="2" t="inlineStr">
        <is>
          <t>Sacred Texts / translated Vedic corpus</t>
        </is>
      </c>
      <c r="Q29" s="2" t="inlineStr">
        <is>
          <t>https://www.sacred-texts.com/hin/rigveda/</t>
        </is>
      </c>
      <c r="R29" s="2" t="inlineStr">
        <is>
          <t>British Library / museum collections</t>
        </is>
      </c>
      <c r="S29" s="2" t="inlineStr">
        <is>
          <t>https://www.bl.uk/collection-guides</t>
        </is>
      </c>
      <c r="T29" s="2" t="inlineStr">
        <is>
          <t>Nasadiya Sukta (Rigveda 10.129)</t>
        </is>
      </c>
      <c r="U29" s="2" t="inlineStr">
        <is>
          <t>A strong control against over-forced parallels.</t>
        </is>
      </c>
    </row>
    <row r="30">
      <c r="A30" s="2" t="inlineStr">
        <is>
          <t>Creator / primeval order</t>
        </is>
      </c>
      <c r="B30" s="2" t="inlineStr">
        <is>
          <t>Chaos, earth, sky succession</t>
        </is>
      </c>
      <c r="C30" s="2" t="inlineStr">
        <is>
          <t>Chaos / Gaia / Ouranos</t>
        </is>
      </c>
      <c r="D30" s="2" t="inlineStr">
        <is>
          <t>Greek</t>
        </is>
      </c>
      <c r="E30" s="2" t="inlineStr">
        <is>
          <t>Aegean / Greece / Italy</t>
        </is>
      </c>
      <c r="F30" s="2" t="inlineStr">
        <is>
          <t>Archaic Greek witness</t>
        </is>
      </c>
      <c r="G30" s="2" t="inlineStr">
        <is>
          <t>Primeval beings</t>
        </is>
      </c>
      <c r="H30" s="2" t="inlineStr">
        <is>
          <t>Initial generation of cosmos in genealogical form</t>
        </is>
      </c>
      <c r="I30" s="2" t="inlineStr">
        <is>
          <t>Tiamat/Apsu; Atum/Nun (structural only)</t>
        </is>
      </c>
      <c r="J30" s="2" t="inlineStr">
        <is>
          <t>Hesiod Theogony</t>
        </is>
      </c>
      <c r="K30" s="2" t="inlineStr">
        <is>
          <t>Greek textual corpus</t>
        </is>
      </c>
      <c r="L30" s="2" t="inlineStr">
        <is>
          <t>Structural parallel</t>
        </is>
      </c>
      <c r="M30" s="2" t="inlineStr">
        <is>
          <t>Good for genealogy-based creation comparison</t>
        </is>
      </c>
      <c r="N30" s="2" t="inlineStr">
        <is>
          <t>Perseus</t>
        </is>
      </c>
      <c r="O30" s="2" t="inlineStr">
        <is>
          <t>https://www.perseus.tufts.edu/hopper/</t>
        </is>
      </c>
      <c r="P30" s="2" t="inlineStr">
        <is>
          <t>Perseus</t>
        </is>
      </c>
      <c r="Q30" s="2" t="inlineStr">
        <is>
          <t>https://www.perseus.tufts.edu/hopper/</t>
        </is>
      </c>
      <c r="R30" s="2" t="inlineStr">
        <is>
          <t>Perseus Art &amp; Archaeology</t>
        </is>
      </c>
      <c r="S30" s="2" t="inlineStr">
        <is>
          <t>https://perseus.pubpub.org/</t>
        </is>
      </c>
      <c r="T30" s="2" t="inlineStr"/>
      <c r="U30" s="2" t="inlineStr">
        <is>
          <t>Greek baseline for creation genealogy.</t>
        </is>
      </c>
    </row>
    <row r="31">
      <c r="A31" s="2" t="inlineStr">
        <is>
          <t>Creator / primeval order</t>
        </is>
      </c>
      <c r="B31" s="2" t="inlineStr">
        <is>
          <t>Sky-earth separation and repair of cosmos</t>
        </is>
      </c>
      <c r="C31" s="2" t="inlineStr">
        <is>
          <t>Nüwa</t>
        </is>
      </c>
      <c r="D31" s="2" t="inlineStr">
        <is>
          <t>Chinese</t>
        </is>
      </c>
      <c r="E31" s="2" t="inlineStr">
        <is>
          <t>China</t>
        </is>
      </c>
      <c r="F31" s="2" t="inlineStr">
        <is>
          <t>Classical witness</t>
        </is>
      </c>
      <c r="G31" s="2" t="inlineStr">
        <is>
          <t>Creator / repairer</t>
        </is>
      </c>
      <c r="H31" s="2" t="inlineStr">
        <is>
          <t>Repairs heavens, fashions humans in later traditions</t>
        </is>
      </c>
      <c r="I31" s="2" t="inlineStr">
        <is>
          <t>Atum; creator-repairer figures</t>
        </is>
      </c>
      <c r="J31" s="2" t="inlineStr">
        <is>
          <t>Classical Chinese corpus</t>
        </is>
      </c>
      <c r="K31" s="2" t="inlineStr">
        <is>
          <t>Chinese myth corpus</t>
        </is>
      </c>
      <c r="L31" s="2" t="inlineStr">
        <is>
          <t>Structural parallel</t>
        </is>
      </c>
      <c r="M31" s="2" t="inlineStr">
        <is>
          <t>More repair and anthropogony than primeval combat</t>
        </is>
      </c>
      <c r="N31" s="2" t="inlineStr">
        <is>
          <t>Chinese Text Project</t>
        </is>
      </c>
      <c r="O31" s="2" t="inlineStr">
        <is>
          <t>https://ctext.org/</t>
        </is>
      </c>
      <c r="P31" s="2" t="inlineStr">
        <is>
          <t>Chinese Text Project</t>
        </is>
      </c>
      <c r="Q31" s="2" t="inlineStr">
        <is>
          <t>https://ctext.org/</t>
        </is>
      </c>
      <c r="R31" s="2" t="inlineStr">
        <is>
          <t>Smithsonian Open Access</t>
        </is>
      </c>
      <c r="S31" s="2" t="inlineStr">
        <is>
          <t>https://www.si.edu/openaccess</t>
        </is>
      </c>
      <c r="T31" s="2" t="inlineStr"/>
      <c r="U31" s="2" t="inlineStr">
        <is>
          <t>Useful for repair-after-catastrophe pattern.</t>
        </is>
      </c>
    </row>
    <row r="32">
      <c r="A32" s="2" t="inlineStr">
        <is>
          <t>Boundary-breakers / rebel beings</t>
        </is>
      </c>
      <c r="B32" s="2" t="inlineStr">
        <is>
          <t>Forbidden knowledge from heavenly beings</t>
        </is>
      </c>
      <c r="C32" s="2" t="inlineStr">
        <is>
          <t>Watchers</t>
        </is>
      </c>
      <c r="D32" s="2" t="inlineStr">
        <is>
          <t>Second Temple Jewish</t>
        </is>
      </c>
      <c r="E32" s="2" t="inlineStr">
        <is>
          <t>Levant / Israel / Phoenicia</t>
        </is>
      </c>
      <c r="F32" s="2" t="inlineStr">
        <is>
          <t>Late BCE textual witness</t>
        </is>
      </c>
      <c r="G32" s="2" t="inlineStr">
        <is>
          <t>Rebel angelic beings</t>
        </is>
      </c>
      <c r="H32" s="2" t="inlineStr">
        <is>
          <t>Descend, teach knowledge, transgress boundaries</t>
        </is>
      </c>
      <c r="I32" s="2" t="inlineStr">
        <is>
          <t>Apkallu (partially); Titans; Asuras (broadly)</t>
        </is>
      </c>
      <c r="J32" s="2" t="inlineStr">
        <is>
          <t>1 Enoch / Book of Watchers</t>
        </is>
      </c>
      <c r="K32" s="2" t="inlineStr">
        <is>
          <t>Qumran / Enochic manuscript tradition</t>
        </is>
      </c>
      <c r="L32" s="2" t="inlineStr">
        <is>
          <t>Structural parallel</t>
        </is>
      </c>
      <c r="M32" s="2" t="inlineStr">
        <is>
          <t>Teaching motif parallels sages, but moral framing is opposite</t>
        </is>
      </c>
      <c r="N32" s="2" t="inlineStr">
        <is>
          <t>Dead Sea Scrolls Digital Library</t>
        </is>
      </c>
      <c r="O32" s="2" t="inlineStr">
        <is>
          <t>https://www.deadseascrolls.org.il/</t>
        </is>
      </c>
      <c r="P32" s="2" t="inlineStr">
        <is>
          <t>Sefaria / translated editions</t>
        </is>
      </c>
      <c r="Q32" s="2" t="inlineStr">
        <is>
          <t>https://www.sefaria.org/</t>
        </is>
      </c>
      <c r="R32" s="2" t="inlineStr">
        <is>
          <t>Dead Sea Scrolls Digital Library</t>
        </is>
      </c>
      <c r="S32" s="2" t="inlineStr">
        <is>
          <t>https://www.deadseascrolls.org.il/</t>
        </is>
      </c>
      <c r="T32" s="2" t="inlineStr"/>
      <c r="U32" s="2" t="inlineStr">
        <is>
          <t>Keep separated from positive culture heroes.</t>
        </is>
      </c>
    </row>
    <row r="33">
      <c r="A33" s="2" t="inlineStr">
        <is>
          <t>Boundary-breakers / rebel beings</t>
        </is>
      </c>
      <c r="B33" s="2" t="inlineStr">
        <is>
          <t>Hybrid giant offspring</t>
        </is>
      </c>
      <c r="C33" s="2" t="inlineStr">
        <is>
          <t>Nephilim</t>
        </is>
      </c>
      <c r="D33" s="2" t="inlineStr">
        <is>
          <t>Hebrew Bible / Enochic</t>
        </is>
      </c>
      <c r="E33" s="2" t="inlineStr">
        <is>
          <t>Levant / Israel / Phoenicia</t>
        </is>
      </c>
      <c r="F33" s="2" t="inlineStr">
        <is>
          <t>Late BCE witnesses</t>
        </is>
      </c>
      <c r="G33" s="2" t="inlineStr">
        <is>
          <t>Giant / transgressive offspring</t>
        </is>
      </c>
      <c r="H33" s="2" t="inlineStr">
        <is>
          <t>Embodiment of crossing cosmic-human boundary</t>
        </is>
      </c>
      <c r="I33" s="2" t="inlineStr">
        <is>
          <t>Titans; giants; demigod traditions</t>
        </is>
      </c>
      <c r="J33" s="2" t="inlineStr">
        <is>
          <t>Genesis 6; Enochic material</t>
        </is>
      </c>
      <c r="K33" s="2" t="inlineStr">
        <is>
          <t>Qumran / biblical tradition</t>
        </is>
      </c>
      <c r="L33" s="2" t="inlineStr">
        <is>
          <t>Structural parallel</t>
        </is>
      </c>
      <c r="M33" s="2" t="inlineStr">
        <is>
          <t>Better treated as motif cluster than same-person candidate</t>
        </is>
      </c>
      <c r="N33" s="2" t="inlineStr">
        <is>
          <t>Sefaria</t>
        </is>
      </c>
      <c r="O33" s="2" t="inlineStr">
        <is>
          <t>https://www.sefaria.org/Genesis.6</t>
        </is>
      </c>
      <c r="P33" s="2" t="inlineStr">
        <is>
          <t>Sefaria</t>
        </is>
      </c>
      <c r="Q33" s="2" t="inlineStr">
        <is>
          <t>https://www.sefaria.org/Genesis.6</t>
        </is>
      </c>
      <c r="R33" s="2" t="inlineStr">
        <is>
          <t>Dead Sea Scrolls Digital Library</t>
        </is>
      </c>
      <c r="S33" s="2" t="inlineStr">
        <is>
          <t>https://www.deadseascrolls.org.il/</t>
        </is>
      </c>
      <c r="T33" s="2" t="inlineStr"/>
      <c r="U33" s="2" t="inlineStr">
        <is>
          <t>Use for corruption-before-flood arc.</t>
        </is>
      </c>
    </row>
    <row r="34">
      <c r="A34" s="2" t="inlineStr">
        <is>
          <t>Boundary-breakers / rebel beings</t>
        </is>
      </c>
      <c r="B34" s="2" t="inlineStr">
        <is>
          <t>Older generation overthrown by younger gods</t>
        </is>
      </c>
      <c r="C34" s="2" t="inlineStr">
        <is>
          <t>Titans</t>
        </is>
      </c>
      <c r="D34" s="2" t="inlineStr">
        <is>
          <t>Greek</t>
        </is>
      </c>
      <c r="E34" s="2" t="inlineStr">
        <is>
          <t>Aegean / Greece / Italy</t>
        </is>
      </c>
      <c r="F34" s="2" t="inlineStr">
        <is>
          <t>Archaic Greek witness</t>
        </is>
      </c>
      <c r="G34" s="2" t="inlineStr">
        <is>
          <t>Primeval divine generation</t>
        </is>
      </c>
      <c r="H34" s="2" t="inlineStr">
        <is>
          <t>Boundary between primal and ordered cosmos</t>
        </is>
      </c>
      <c r="I34" s="2" t="inlineStr">
        <is>
          <t>Watchers (very loosely); Asuras (loosely)</t>
        </is>
      </c>
      <c r="J34" s="2" t="inlineStr">
        <is>
          <t>Hesiod Theogony</t>
        </is>
      </c>
      <c r="K34" s="2" t="inlineStr">
        <is>
          <t>Greek textual corpus</t>
        </is>
      </c>
      <c r="L34" s="2" t="inlineStr">
        <is>
          <t>Structural parallel</t>
        </is>
      </c>
      <c r="M34" s="2" t="inlineStr">
        <is>
          <t>Succession myth, not direct watcher analogue</t>
        </is>
      </c>
      <c r="N34" s="2" t="inlineStr">
        <is>
          <t>Perseus</t>
        </is>
      </c>
      <c r="O34" s="2" t="inlineStr">
        <is>
          <t>https://www.perseus.tufts.edu/hopper/</t>
        </is>
      </c>
      <c r="P34" s="2" t="inlineStr">
        <is>
          <t>Perseus</t>
        </is>
      </c>
      <c r="Q34" s="2" t="inlineStr">
        <is>
          <t>https://www.perseus.tufts.edu/hopper/</t>
        </is>
      </c>
      <c r="R34" s="2" t="inlineStr">
        <is>
          <t>Perseus Art &amp; Archaeology</t>
        </is>
      </c>
      <c r="S34" s="2" t="inlineStr">
        <is>
          <t>https://perseus.pubpub.org/</t>
        </is>
      </c>
      <c r="T34" s="2" t="inlineStr"/>
      <c r="U34" s="2" t="inlineStr">
        <is>
          <t>Use mainly for divine succession pattern.</t>
        </is>
      </c>
    </row>
    <row r="35">
      <c r="A35" s="2" t="inlineStr">
        <is>
          <t>Boundary-breakers / rebel beings</t>
        </is>
      </c>
      <c r="B35" s="2" t="inlineStr">
        <is>
          <t>Gods vs anti-gods / order vs anti-order</t>
        </is>
      </c>
      <c r="C35" s="2" t="inlineStr">
        <is>
          <t>Asuras</t>
        </is>
      </c>
      <c r="D35" s="2" t="inlineStr">
        <is>
          <t>Vedic / Hindu</t>
        </is>
      </c>
      <c r="E35" s="2" t="inlineStr">
        <is>
          <t>South Asia</t>
        </is>
      </c>
      <c r="F35" s="2" t="inlineStr">
        <is>
          <t>Late BCE written witness to older oral layer</t>
        </is>
      </c>
      <c r="G35" s="2" t="inlineStr">
        <is>
          <t>Divine rival class</t>
        </is>
      </c>
      <c r="H35" s="2" t="inlineStr">
        <is>
          <t>Contest cosmic order and sovereignty</t>
        </is>
      </c>
      <c r="I35" s="2" t="inlineStr">
        <is>
          <t>Titans; rebellious divine classes</t>
        </is>
      </c>
      <c r="J35" s="2" t="inlineStr">
        <is>
          <t>Rigveda / later Vedic corpus</t>
        </is>
      </c>
      <c r="K35" s="2" t="inlineStr">
        <is>
          <t>South Asian textual corpus</t>
        </is>
      </c>
      <c r="L35" s="2" t="inlineStr">
        <is>
          <t>Structural parallel</t>
        </is>
      </c>
      <c r="M35" s="2" t="inlineStr">
        <is>
          <t>A category-level comparison, not one-to-one identity</t>
        </is>
      </c>
      <c r="N35" s="2" t="inlineStr">
        <is>
          <t>Sacred Texts / translated Vedic corpus</t>
        </is>
      </c>
      <c r="O35" s="2" t="inlineStr">
        <is>
          <t>https://www.sacred-texts.com/hin/</t>
        </is>
      </c>
      <c r="P35" s="2" t="inlineStr">
        <is>
          <t>Sacred Texts / translated Vedic corpus</t>
        </is>
      </c>
      <c r="Q35" s="2" t="inlineStr">
        <is>
          <t>https://www.sacred-texts.com/hin/</t>
        </is>
      </c>
      <c r="R35" s="2" t="inlineStr">
        <is>
          <t>British Library / museum collections</t>
        </is>
      </c>
      <c r="S35" s="2" t="inlineStr">
        <is>
          <t>https://www.bl.uk/collection-guides</t>
        </is>
      </c>
      <c r="T35" s="2" t="inlineStr"/>
      <c r="U35" s="2" t="inlineStr">
        <is>
          <t>Useful for comparative divine conflict.</t>
        </is>
      </c>
    </row>
    <row r="36">
      <c r="A36" s="2" t="inlineStr">
        <is>
          <t>Boundary-breakers / rebel beings</t>
        </is>
      </c>
      <c r="B36" s="2" t="inlineStr">
        <is>
          <t>Primeval giants / before-order beings</t>
        </is>
      </c>
      <c r="C36" s="2" t="inlineStr">
        <is>
          <t>Jotnar / giants</t>
        </is>
      </c>
      <c r="D36" s="2" t="inlineStr">
        <is>
          <t>Norse later witness</t>
        </is>
      </c>
      <c r="E36" s="2" t="inlineStr">
        <is>
          <t>Northern / Celtic Europe</t>
        </is>
      </c>
      <c r="F36" s="2" t="inlineStr">
        <is>
          <t>Later witness preserving older mythic structures</t>
        </is>
      </c>
      <c r="G36" s="2" t="inlineStr">
        <is>
          <t>Primeval beings</t>
        </is>
      </c>
      <c r="H36" s="2" t="inlineStr">
        <is>
          <t>Exist before and alongside gods, often chaotic</t>
        </is>
      </c>
      <c r="I36" s="2" t="inlineStr">
        <is>
          <t>Titans; giants; Nephilim (very broadly)</t>
        </is>
      </c>
      <c r="J36" s="2" t="inlineStr">
        <is>
          <t>Eddic tradition</t>
        </is>
      </c>
      <c r="K36" s="2" t="inlineStr">
        <is>
          <t>Northern myth witness</t>
        </is>
      </c>
      <c r="L36" s="2" t="inlineStr">
        <is>
          <t>Structural parallel</t>
        </is>
      </c>
      <c r="M36" s="2" t="inlineStr">
        <is>
          <t>Later witness only; keep as motif comparison, not BCE source</t>
        </is>
      </c>
      <c r="N36" s="2" t="inlineStr">
        <is>
          <t>Internet Archive / translated Eddas</t>
        </is>
      </c>
      <c r="O36" s="2" t="inlineStr">
        <is>
          <t>https://archive.org/</t>
        </is>
      </c>
      <c r="P36" s="2" t="inlineStr">
        <is>
          <t>Internet Archive / translated Eddas</t>
        </is>
      </c>
      <c r="Q36" s="2" t="inlineStr">
        <is>
          <t>https://archive.org/</t>
        </is>
      </c>
      <c r="R36" s="2" t="inlineStr">
        <is>
          <t>British Museum Collection</t>
        </is>
      </c>
      <c r="S36" s="2" t="inlineStr">
        <is>
          <t>https://www.britishmuseum.org/collection</t>
        </is>
      </c>
      <c r="T36" s="2" t="inlineStr"/>
      <c r="U36" s="2" t="inlineStr">
        <is>
          <t>Later witness flag should remain explicit.</t>
        </is>
      </c>
    </row>
    <row r="37">
      <c r="A37" s="2" t="inlineStr">
        <is>
          <t>Founder kings / sacral kingship</t>
        </is>
      </c>
      <c r="B37" s="2" t="inlineStr">
        <is>
          <t>First king after origins</t>
        </is>
      </c>
      <c r="C37" s="2" t="inlineStr">
        <is>
          <t>Alulim</t>
        </is>
      </c>
      <c r="D37" s="2" t="inlineStr">
        <is>
          <t>Sumerian</t>
        </is>
      </c>
      <c r="E37" s="2" t="inlineStr">
        <is>
          <t>Mesopotamia</t>
        </is>
      </c>
      <c r="F37" s="2" t="inlineStr">
        <is>
          <t>2nd millennium BCE witnesses to antediluvian kingship tradition</t>
        </is>
      </c>
      <c r="G37" s="2" t="inlineStr">
        <is>
          <t>Primeval king</t>
        </is>
      </c>
      <c r="H37" s="2" t="inlineStr">
        <is>
          <t>Starts king list at Eridu</t>
        </is>
      </c>
      <c r="I37" s="2" t="inlineStr">
        <is>
          <t>Menes; Huangdi (as founder-kings)</t>
        </is>
      </c>
      <c r="J37" s="2" t="inlineStr">
        <is>
          <t>Sumerian King List</t>
        </is>
      </c>
      <c r="K37" s="2" t="inlineStr">
        <is>
          <t>Eridu</t>
        </is>
      </c>
      <c r="L37" s="2" t="inlineStr">
        <is>
          <t>Structural parallel</t>
        </is>
      </c>
      <c r="M37" s="2" t="inlineStr">
        <is>
          <t>Useful for comparing how cultures anchor the beginning of rule</t>
        </is>
      </c>
      <c r="N37" s="2" t="inlineStr">
        <is>
          <t>ETCSL</t>
        </is>
      </c>
      <c r="O37" s="2" t="inlineStr">
        <is>
          <t>https://etcsl.orinst.ox.ac.uk/</t>
        </is>
      </c>
      <c r="P37" s="2" t="inlineStr">
        <is>
          <t>ETCSL</t>
        </is>
      </c>
      <c r="Q37" s="2" t="inlineStr">
        <is>
          <t>https://etcsl.orinst.ox.ac.uk/cgi-bin/etcsl.cgi?text=all</t>
        </is>
      </c>
      <c r="R37" s="2" t="inlineStr">
        <is>
          <t>British Museum Collection</t>
        </is>
      </c>
      <c r="S37" s="2" t="inlineStr">
        <is>
          <t>https://www.britishmuseum.org/collection</t>
        </is>
      </c>
      <c r="T37" s="2" t="inlineStr"/>
      <c r="U37" s="2" t="inlineStr">
        <is>
          <t>One of the strongest “history begins with kingship from heaven” witnesses.</t>
        </is>
      </c>
    </row>
    <row r="38">
      <c r="A38" s="2" t="inlineStr">
        <is>
          <t>Founder kings / sacral kingship</t>
        </is>
      </c>
      <c r="B38" s="2" t="inlineStr">
        <is>
          <t>First unifier / dynastic founder</t>
        </is>
      </c>
      <c r="C38" s="2" t="inlineStr">
        <is>
          <t>Narmer / Menes</t>
        </is>
      </c>
      <c r="D38" s="2" t="inlineStr">
        <is>
          <t>Egyptian</t>
        </is>
      </c>
      <c r="E38" s="2" t="inlineStr">
        <is>
          <t>Egypt</t>
        </is>
      </c>
      <c r="F38" s="2" t="inlineStr">
        <is>
          <t>Early Dynastic / later king-list memory</t>
        </is>
      </c>
      <c r="G38" s="2" t="inlineStr">
        <is>
          <t>Founder king</t>
        </is>
      </c>
      <c r="H38" s="2" t="inlineStr">
        <is>
          <t>Unifies realm and begins dynastic history</t>
        </is>
      </c>
      <c r="I38" s="2" t="inlineStr">
        <is>
          <t>Alulim; Huangdi; Yu</t>
        </is>
      </c>
      <c r="J38" s="2" t="inlineStr">
        <is>
          <t>King lists; Narmer Palette</t>
        </is>
      </c>
      <c r="K38" s="2" t="inlineStr">
        <is>
          <t>Abydos / museum object corpus</t>
        </is>
      </c>
      <c r="L38" s="2" t="inlineStr">
        <is>
          <t>Structural parallel</t>
        </is>
      </c>
      <c r="M38" s="2" t="inlineStr">
        <is>
          <t>Moves from mythic beginnings toward harder historiography</t>
        </is>
      </c>
      <c r="N38" s="2" t="inlineStr">
        <is>
          <t>TLA / museum pages</t>
        </is>
      </c>
      <c r="O38" s="2" t="inlineStr">
        <is>
          <t>https://thesaurus-linguae-aegyptiae.de/home</t>
        </is>
      </c>
      <c r="P38" s="2" t="inlineStr">
        <is>
          <t>TLA / museum pages</t>
        </is>
      </c>
      <c r="Q38" s="2" t="inlineStr">
        <is>
          <t>https://thesaurus-linguae-aegyptiae.de/home</t>
        </is>
      </c>
      <c r="R38" s="2" t="inlineStr">
        <is>
          <t>British Museum Collection</t>
        </is>
      </c>
      <c r="S38" s="2" t="inlineStr">
        <is>
          <t>https://www.britishmuseum.org/collection</t>
        </is>
      </c>
      <c r="T38" s="2" t="inlineStr">
        <is>
          <t>Narmer Palette</t>
        </is>
      </c>
      <c r="U38" s="2" t="inlineStr">
        <is>
          <t>Good for myth-to-history transition.</t>
        </is>
      </c>
    </row>
    <row r="39">
      <c r="A39" s="2" t="inlineStr">
        <is>
          <t>Founder kings / sacral kingship</t>
        </is>
      </c>
      <c r="B39" s="2" t="inlineStr">
        <is>
          <t>Culture-founder emperor</t>
        </is>
      </c>
      <c r="C39" s="2" t="inlineStr">
        <is>
          <t>Huangdi</t>
        </is>
      </c>
      <c r="D39" s="2" t="inlineStr">
        <is>
          <t>Chinese</t>
        </is>
      </c>
      <c r="E39" s="2" t="inlineStr">
        <is>
          <t>China</t>
        </is>
      </c>
      <c r="F39" s="2" t="inlineStr">
        <is>
          <t>Classical textual witness</t>
        </is>
      </c>
      <c r="G39" s="2" t="inlineStr">
        <is>
          <t>Mythic founder king</t>
        </is>
      </c>
      <c r="H39" s="2" t="inlineStr">
        <is>
          <t>Centers civilization, medicine, order</t>
        </is>
      </c>
      <c r="I39" s="2" t="inlineStr">
        <is>
          <t>Menes; Alulim</t>
        </is>
      </c>
      <c r="J39" s="2" t="inlineStr">
        <is>
          <t>Classical Chinese texts</t>
        </is>
      </c>
      <c r="K39" s="2" t="inlineStr">
        <is>
          <t>Chinese myth-history corpus</t>
        </is>
      </c>
      <c r="L39" s="2" t="inlineStr">
        <is>
          <t>Structural parallel</t>
        </is>
      </c>
      <c r="M39" s="2" t="inlineStr">
        <is>
          <t>Mythic founder used as origin anchor for culture and state</t>
        </is>
      </c>
      <c r="N39" s="2" t="inlineStr">
        <is>
          <t>Chinese Text Project</t>
        </is>
      </c>
      <c r="O39" s="2" t="inlineStr">
        <is>
          <t>https://ctext.org/</t>
        </is>
      </c>
      <c r="P39" s="2" t="inlineStr">
        <is>
          <t>Chinese Text Project</t>
        </is>
      </c>
      <c r="Q39" s="2" t="inlineStr">
        <is>
          <t>https://ctext.org/</t>
        </is>
      </c>
      <c r="R39" s="2" t="inlineStr">
        <is>
          <t>Smithsonian Open Access</t>
        </is>
      </c>
      <c r="S39" s="2" t="inlineStr">
        <is>
          <t>https://www.si.edu/openaccess</t>
        </is>
      </c>
      <c r="T39" s="2" t="inlineStr"/>
      <c r="U39" s="2" t="inlineStr">
        <is>
          <t>Foundational Chinese origin figure.</t>
        </is>
      </c>
    </row>
    <row r="40">
      <c r="A40" s="2" t="inlineStr">
        <is>
          <t>Founder kings / sacral kingship</t>
        </is>
      </c>
      <c r="B40" s="2" t="inlineStr">
        <is>
          <t>Post-catastrophe state founder</t>
        </is>
      </c>
      <c r="C40" s="2" t="inlineStr">
        <is>
          <t>Yu the Great</t>
        </is>
      </c>
      <c r="D40" s="2" t="inlineStr">
        <is>
          <t>Chinese</t>
        </is>
      </c>
      <c r="E40" s="2" t="inlineStr">
        <is>
          <t>China</t>
        </is>
      </c>
      <c r="F40" s="2" t="inlineStr">
        <is>
          <t>Classical textual witness</t>
        </is>
      </c>
      <c r="G40" s="2" t="inlineStr">
        <is>
          <t>Founder / flood tamer</t>
        </is>
      </c>
      <c r="H40" s="2" t="inlineStr">
        <is>
          <t>Tames waters and founds Xia memory</t>
        </is>
      </c>
      <c r="I40" s="2" t="inlineStr">
        <is>
          <t>Noah/Manu (cataclysm); Menes</t>
        </is>
      </c>
      <c r="J40" s="2" t="inlineStr">
        <is>
          <t>Shujing / Shiji tradition</t>
        </is>
      </c>
      <c r="K40" s="2" t="inlineStr">
        <is>
          <t>Chinese early state memory</t>
        </is>
      </c>
      <c r="L40" s="2" t="inlineStr">
        <is>
          <t>Structural parallel</t>
        </is>
      </c>
      <c r="M40" s="2" t="inlineStr">
        <is>
          <t>Bridge between catastrophe and kingship</t>
        </is>
      </c>
      <c r="N40" s="2" t="inlineStr">
        <is>
          <t>Chinese Text Project</t>
        </is>
      </c>
      <c r="O40" s="2" t="inlineStr">
        <is>
          <t>https://ctext.org/</t>
        </is>
      </c>
      <c r="P40" s="2" t="inlineStr">
        <is>
          <t>Chinese Text Project</t>
        </is>
      </c>
      <c r="Q40" s="2" t="inlineStr">
        <is>
          <t>https://ctext.org/</t>
        </is>
      </c>
      <c r="R40" s="2" t="inlineStr">
        <is>
          <t>Smithsonian Open Access</t>
        </is>
      </c>
      <c r="S40" s="2" t="inlineStr">
        <is>
          <t>https://www.si.edu/openaccess</t>
        </is>
      </c>
      <c r="T40" s="2" t="inlineStr">
        <is>
          <t>Yu the Great and flood-control tradition</t>
        </is>
      </c>
      <c r="U40" s="2" t="inlineStr">
        <is>
          <t>Important for “after the flood comes state order.”</t>
        </is>
      </c>
    </row>
    <row r="41">
      <c r="A41" s="2" t="inlineStr">
        <is>
          <t>Founder kings / sacral kingship</t>
        </is>
      </c>
      <c r="B41" s="2" t="inlineStr">
        <is>
          <t>Divine kingship and death-to-order</t>
        </is>
      </c>
      <c r="C41" s="2" t="inlineStr">
        <is>
          <t>Osiris</t>
        </is>
      </c>
      <c r="D41" s="2" t="inlineStr">
        <is>
          <t>Egyptian</t>
        </is>
      </c>
      <c r="E41" s="2" t="inlineStr">
        <is>
          <t>Egypt</t>
        </is>
      </c>
      <c r="F41" s="2" t="inlineStr">
        <is>
          <t>Old Kingdom onward</t>
        </is>
      </c>
      <c r="G41" s="2" t="inlineStr">
        <is>
          <t>Divine king</t>
        </is>
      </c>
      <c r="H41" s="2" t="inlineStr">
        <is>
          <t>Prototype of sacral kingship and just rule</t>
        </is>
      </c>
      <c r="I41" s="2" t="inlineStr">
        <is>
          <t>Huangdi; Menes (symbolically)</t>
        </is>
      </c>
      <c r="J41" s="2" t="inlineStr">
        <is>
          <t>Pyramid Texts / Coffin Texts / temple material</t>
        </is>
      </c>
      <c r="K41" s="2" t="inlineStr">
        <is>
          <t>Abydos</t>
        </is>
      </c>
      <c r="L41" s="2" t="inlineStr">
        <is>
          <t>Structural parallel</t>
        </is>
      </c>
      <c r="M41" s="2" t="inlineStr">
        <is>
          <t>Not founder in same way, but a model of kingship legitimacy</t>
        </is>
      </c>
      <c r="N41" s="2" t="inlineStr">
        <is>
          <t>TLA</t>
        </is>
      </c>
      <c r="O41" s="2" t="inlineStr">
        <is>
          <t>https://thesaurus-linguae-aegyptiae.de/home</t>
        </is>
      </c>
      <c r="P41" s="2" t="inlineStr">
        <is>
          <t>TLA</t>
        </is>
      </c>
      <c r="Q41" s="2" t="inlineStr">
        <is>
          <t>https://thesaurus-linguae-aegyptiae.de/home</t>
        </is>
      </c>
      <c r="R41" s="2" t="inlineStr">
        <is>
          <t>British Museum Collection</t>
        </is>
      </c>
      <c r="S41" s="2" t="inlineStr">
        <is>
          <t>https://www.britishmuseum.org/collection</t>
        </is>
      </c>
      <c r="T41" s="2" t="inlineStr">
        <is>
          <t>Osiris Myth Cycle</t>
        </is>
      </c>
      <c r="U41" s="2" t="inlineStr">
        <is>
          <t>Use when tracing divine kingship.</t>
        </is>
      </c>
    </row>
    <row r="42">
      <c r="A42" s="2" t="inlineStr">
        <is>
          <t>Death / underworld / judgement</t>
        </is>
      </c>
      <c r="B42" s="2" t="inlineStr">
        <is>
          <t>King of dead and resurrection</t>
        </is>
      </c>
      <c r="C42" s="2" t="inlineStr">
        <is>
          <t>Osiris</t>
        </is>
      </c>
      <c r="D42" s="2" t="inlineStr">
        <is>
          <t>Egyptian</t>
        </is>
      </c>
      <c r="E42" s="2" t="inlineStr">
        <is>
          <t>Egypt</t>
        </is>
      </c>
      <c r="F42" s="2" t="inlineStr">
        <is>
          <t>Old Kingdom onward</t>
        </is>
      </c>
      <c r="G42" s="2" t="inlineStr">
        <is>
          <t>Underworld ruler</t>
        </is>
      </c>
      <c r="H42" s="2" t="inlineStr">
        <is>
          <t>Judges and renews the dead</t>
        </is>
      </c>
      <c r="I42" s="2" t="inlineStr">
        <is>
          <t>Yama; Hades; Inanna (descent axis)</t>
        </is>
      </c>
      <c r="J42" s="2" t="inlineStr">
        <is>
          <t>Pyramid Texts; Coffin Texts; Book of the Dead</t>
        </is>
      </c>
      <c r="K42" s="2" t="inlineStr">
        <is>
          <t>Abydos / Egyptian funerary corpus</t>
        </is>
      </c>
      <c r="L42" s="2" t="inlineStr">
        <is>
          <t>Structural parallel</t>
        </is>
      </c>
      <c r="M42" s="2" t="inlineStr">
        <is>
          <t>Death-judgement role is strong cross-cultural theme</t>
        </is>
      </c>
      <c r="N42" s="2" t="inlineStr">
        <is>
          <t>TLA</t>
        </is>
      </c>
      <c r="O42" s="2" t="inlineStr">
        <is>
          <t>https://thesaurus-linguae-aegyptiae.de/home</t>
        </is>
      </c>
      <c r="P42" s="2" t="inlineStr">
        <is>
          <t>TLA</t>
        </is>
      </c>
      <c r="Q42" s="2" t="inlineStr">
        <is>
          <t>https://thesaurus-linguae-aegyptiae.de/home</t>
        </is>
      </c>
      <c r="R42" s="2" t="inlineStr">
        <is>
          <t>British Museum Collection</t>
        </is>
      </c>
      <c r="S42" s="2" t="inlineStr">
        <is>
          <t>https://www.britishmuseum.org/collection</t>
        </is>
      </c>
      <c r="T42" s="2" t="inlineStr">
        <is>
          <t>Osiris Myth Cycle</t>
        </is>
      </c>
      <c r="U42" s="2" t="inlineStr">
        <is>
          <t>Central afterlife comparator.</t>
        </is>
      </c>
    </row>
    <row r="43">
      <c r="A43" s="2" t="inlineStr">
        <is>
          <t>Death / underworld / judgement</t>
        </is>
      </c>
      <c r="B43" s="2" t="inlineStr">
        <is>
          <t>Descent and return</t>
        </is>
      </c>
      <c r="C43" s="2" t="inlineStr">
        <is>
          <t>Inanna / Ishtar</t>
        </is>
      </c>
      <c r="D43" s="2" t="inlineStr">
        <is>
          <t>Sumerian / Akkadian</t>
        </is>
      </c>
      <c r="E43" s="2" t="inlineStr">
        <is>
          <t>Mesopotamia</t>
        </is>
      </c>
      <c r="F43" s="2" t="inlineStr">
        <is>
          <t>3rd–2nd millennium BCE witnesses</t>
        </is>
      </c>
      <c r="G43" s="2" t="inlineStr">
        <is>
          <t>Goddess of descent</t>
        </is>
      </c>
      <c r="H43" s="2" t="inlineStr">
        <is>
          <t>Crosses death boundary and returns</t>
        </is>
      </c>
      <c r="I43" s="2" t="inlineStr">
        <is>
          <t>Persephone; Osiris (cycle logic)</t>
        </is>
      </c>
      <c r="J43" s="2" t="inlineStr">
        <is>
          <t>Inanna’s Descent</t>
        </is>
      </c>
      <c r="K43" s="2" t="inlineStr">
        <is>
          <t>Uruk / Mesopotamian literary corpus</t>
        </is>
      </c>
      <c r="L43" s="2" t="inlineStr">
        <is>
          <t>Structural parallel</t>
        </is>
      </c>
      <c r="M43" s="2" t="inlineStr">
        <is>
          <t>Important for death-return motifs, not same-person claims</t>
        </is>
      </c>
      <c r="N43" s="2" t="inlineStr">
        <is>
          <t>ETCSL</t>
        </is>
      </c>
      <c r="O43" s="2" t="inlineStr">
        <is>
          <t>https://etcsl.orinst.ox.ac.uk/</t>
        </is>
      </c>
      <c r="P43" s="2" t="inlineStr">
        <is>
          <t>ETCSL</t>
        </is>
      </c>
      <c r="Q43" s="2" t="inlineStr">
        <is>
          <t>https://etcsl.orinst.ox.ac.uk/cgi-bin/etcsl.cgi?text=all</t>
        </is>
      </c>
      <c r="R43" s="2" t="inlineStr">
        <is>
          <t>British Museum Collection</t>
        </is>
      </c>
      <c r="S43" s="2" t="inlineStr">
        <is>
          <t>https://www.britishmuseum.org/collection</t>
        </is>
      </c>
      <c r="T43" s="2" t="inlineStr">
        <is>
          <t>Inanna's Descent</t>
        </is>
      </c>
      <c r="U43" s="2" t="inlineStr">
        <is>
          <t>Useful resurrection-cycle control source.</t>
        </is>
      </c>
    </row>
    <row r="44">
      <c r="A44" s="2" t="inlineStr">
        <is>
          <t>Death / underworld / judgement</t>
        </is>
      </c>
      <c r="B44" s="2" t="inlineStr">
        <is>
          <t>Lord of the dead / judge</t>
        </is>
      </c>
      <c r="C44" s="2" t="inlineStr">
        <is>
          <t>Yama</t>
        </is>
      </c>
      <c r="D44" s="2" t="inlineStr">
        <is>
          <t>Vedic / Indian</t>
        </is>
      </c>
      <c r="E44" s="2" t="inlineStr">
        <is>
          <t>South Asia</t>
        </is>
      </c>
      <c r="F44" s="2" t="inlineStr">
        <is>
          <t>Late BCE witness to older oral layer</t>
        </is>
      </c>
      <c r="G44" s="2" t="inlineStr">
        <is>
          <t>Underworld ruler</t>
        </is>
      </c>
      <c r="H44" s="2" t="inlineStr">
        <is>
          <t>Rules dead and path after death</t>
        </is>
      </c>
      <c r="I44" s="2" t="inlineStr">
        <is>
          <t>Osiris; Hades</t>
        </is>
      </c>
      <c r="J44" s="2" t="inlineStr">
        <is>
          <t>Rigveda and later Indian tradition</t>
        </is>
      </c>
      <c r="K44" s="2" t="inlineStr">
        <is>
          <t>South Asian textual corpus</t>
        </is>
      </c>
      <c r="L44" s="2" t="inlineStr">
        <is>
          <t>Structural parallel</t>
        </is>
      </c>
      <c r="M44" s="2" t="inlineStr">
        <is>
          <t>Good underworld-governor comparison</t>
        </is>
      </c>
      <c r="N44" s="2" t="inlineStr">
        <is>
          <t>Sacred Texts / translated Vedic corpus</t>
        </is>
      </c>
      <c r="O44" s="2" t="inlineStr">
        <is>
          <t>https://www.sacred-texts.com/hin/</t>
        </is>
      </c>
      <c r="P44" s="2" t="inlineStr">
        <is>
          <t>Sacred Texts / translated Vedic corpus</t>
        </is>
      </c>
      <c r="Q44" s="2" t="inlineStr">
        <is>
          <t>https://www.sacred-texts.com/hin/</t>
        </is>
      </c>
      <c r="R44" s="2" t="inlineStr">
        <is>
          <t>British Library / museum collections</t>
        </is>
      </c>
      <c r="S44" s="2" t="inlineStr">
        <is>
          <t>https://www.bl.uk/collection-guides</t>
        </is>
      </c>
      <c r="T44" s="2" t="inlineStr">
        <is>
          <t>Sannai-Maruyama</t>
        </is>
      </c>
      <c r="U44" s="2" t="inlineStr">
        <is>
          <t>Track judgement and path-of-the-dead motifs.</t>
        </is>
      </c>
    </row>
    <row r="45">
      <c r="A45" s="2" t="inlineStr">
        <is>
          <t>Death / underworld / judgement</t>
        </is>
      </c>
      <c r="B45" s="2" t="inlineStr">
        <is>
          <t>Underworld ruler</t>
        </is>
      </c>
      <c r="C45" s="2" t="inlineStr">
        <is>
          <t>Hades</t>
        </is>
      </c>
      <c r="D45" s="2" t="inlineStr">
        <is>
          <t>Greek</t>
        </is>
      </c>
      <c r="E45" s="2" t="inlineStr">
        <is>
          <t>Aegean / Greece / Italy</t>
        </is>
      </c>
      <c r="F45" s="2" t="inlineStr">
        <is>
          <t>Archaic Greek witness</t>
        </is>
      </c>
      <c r="G45" s="2" t="inlineStr">
        <is>
          <t>Underworld ruler</t>
        </is>
      </c>
      <c r="H45" s="2" t="inlineStr">
        <is>
          <t>Receives and rules the dead</t>
        </is>
      </c>
      <c r="I45" s="2" t="inlineStr">
        <is>
          <t>Osiris; Yama</t>
        </is>
      </c>
      <c r="J45" s="2" t="inlineStr">
        <is>
          <t>Homer; Hesiod; later Greek corpus</t>
        </is>
      </c>
      <c r="K45" s="2" t="inlineStr">
        <is>
          <t>Greek literary corpus</t>
        </is>
      </c>
      <c r="L45" s="2" t="inlineStr">
        <is>
          <t>Structural parallel</t>
        </is>
      </c>
      <c r="M45" s="2" t="inlineStr">
        <is>
          <t>More ruler than resurrecting king</t>
        </is>
      </c>
      <c r="N45" s="2" t="inlineStr">
        <is>
          <t>Perseus</t>
        </is>
      </c>
      <c r="O45" s="2" t="inlineStr">
        <is>
          <t>https://www.perseus.tufts.edu/hopper/</t>
        </is>
      </c>
      <c r="P45" s="2" t="inlineStr">
        <is>
          <t>Perseus</t>
        </is>
      </c>
      <c r="Q45" s="2" t="inlineStr">
        <is>
          <t>https://www.perseus.tufts.edu/hopper/</t>
        </is>
      </c>
      <c r="R45" s="2" t="inlineStr">
        <is>
          <t>Perseus Art &amp; Archaeology</t>
        </is>
      </c>
      <c r="S45" s="2" t="inlineStr">
        <is>
          <t>https://perseus.pubpub.org/</t>
        </is>
      </c>
      <c r="T45" s="2" t="inlineStr"/>
      <c r="U45" s="2" t="inlineStr">
        <is>
          <t>Use as control on Greek underworld concepts.</t>
        </is>
      </c>
    </row>
    <row r="46">
      <c r="A46" s="2" t="inlineStr">
        <is>
          <t>Death / underworld / judgement</t>
        </is>
      </c>
      <c r="B46" s="2" t="inlineStr">
        <is>
          <t>Seasonal descent/return axis</t>
        </is>
      </c>
      <c r="C46" s="2" t="inlineStr">
        <is>
          <t>Persephone</t>
        </is>
      </c>
      <c r="D46" s="2" t="inlineStr">
        <is>
          <t>Greek</t>
        </is>
      </c>
      <c r="E46" s="2" t="inlineStr">
        <is>
          <t>Aegean / Greece / Italy</t>
        </is>
      </c>
      <c r="F46" s="2" t="inlineStr">
        <is>
          <t>Archaic Greek witness</t>
        </is>
      </c>
      <c r="G46" s="2" t="inlineStr">
        <is>
          <t>Descent figure</t>
        </is>
      </c>
      <c r="H46" s="2" t="inlineStr">
        <is>
          <t>Crosses underworld boundary and returns cyclically</t>
        </is>
      </c>
      <c r="I46" s="2" t="inlineStr">
        <is>
          <t>Inanna</t>
        </is>
      </c>
      <c r="J46" s="2" t="inlineStr">
        <is>
          <t>Homeric Hymn to Demeter</t>
        </is>
      </c>
      <c r="K46" s="2" t="inlineStr">
        <is>
          <t>Eleusinian context</t>
        </is>
      </c>
      <c r="L46" s="2" t="inlineStr">
        <is>
          <t>Structural parallel</t>
        </is>
      </c>
      <c r="M46" s="2" t="inlineStr">
        <is>
          <t>A major comparative descent-return witness</t>
        </is>
      </c>
      <c r="N46" s="2" t="inlineStr">
        <is>
          <t>Perseus</t>
        </is>
      </c>
      <c r="O46" s="2" t="inlineStr">
        <is>
          <t>https://www.perseus.tufts.edu/hopper/</t>
        </is>
      </c>
      <c r="P46" s="2" t="inlineStr">
        <is>
          <t>Perseus</t>
        </is>
      </c>
      <c r="Q46" s="2" t="inlineStr">
        <is>
          <t>https://www.perseus.tufts.edu/hopper/</t>
        </is>
      </c>
      <c r="R46" s="2" t="inlineStr">
        <is>
          <t>Perseus Art &amp; Archaeology</t>
        </is>
      </c>
      <c r="S46" s="2" t="inlineStr">
        <is>
          <t>https://perseus.pubpub.org/</t>
        </is>
      </c>
      <c r="T46" s="2" t="inlineStr"/>
      <c r="U46" s="2" t="inlineStr">
        <is>
          <t>Useful with Inanna but not identity claim.</t>
        </is>
      </c>
    </row>
    <row r="47">
      <c r="A47" s="2" t="inlineStr">
        <is>
          <t>Sacred knowledge / writing</t>
        </is>
      </c>
      <c r="B47" s="2" t="inlineStr">
        <is>
          <t>Scribe-mediator of gods</t>
        </is>
      </c>
      <c r="C47" s="2" t="inlineStr">
        <is>
          <t>Thoth</t>
        </is>
      </c>
      <c r="D47" s="2" t="inlineStr">
        <is>
          <t>Egyptian</t>
        </is>
      </c>
      <c r="E47" s="2" t="inlineStr">
        <is>
          <t>Egypt</t>
        </is>
      </c>
      <c r="F47" s="2" t="inlineStr">
        <is>
          <t>Old Kingdom onward</t>
        </is>
      </c>
      <c r="G47" s="2" t="inlineStr">
        <is>
          <t>Divine scribe</t>
        </is>
      </c>
      <c r="H47" s="2" t="inlineStr">
        <is>
          <t>Writing, reckoning, speech, mediation</t>
        </is>
      </c>
      <c r="I47" s="2" t="inlineStr">
        <is>
          <t>Enki; Hermes; Fu Xi</t>
        </is>
      </c>
      <c r="J47" s="2" t="inlineStr">
        <is>
          <t>Egyptian theological and funerary corpus</t>
        </is>
      </c>
      <c r="K47" s="2" t="inlineStr">
        <is>
          <t>Hermopolis</t>
        </is>
      </c>
      <c r="L47" s="2" t="inlineStr">
        <is>
          <t>Structural parallel</t>
        </is>
      </c>
      <c r="M47" s="2" t="inlineStr">
        <is>
          <t>Writing and measurement make him a key bridge figure</t>
        </is>
      </c>
      <c r="N47" s="2" t="inlineStr">
        <is>
          <t>TLA</t>
        </is>
      </c>
      <c r="O47" s="2" t="inlineStr">
        <is>
          <t>https://thesaurus-linguae-aegyptiae.de/home</t>
        </is>
      </c>
      <c r="P47" s="2" t="inlineStr">
        <is>
          <t>TLA</t>
        </is>
      </c>
      <c r="Q47" s="2" t="inlineStr">
        <is>
          <t>https://thesaurus-linguae-aegyptiae.de/home</t>
        </is>
      </c>
      <c r="R47" s="2" t="inlineStr">
        <is>
          <t>British Museum Collection</t>
        </is>
      </c>
      <c r="S47" s="2" t="inlineStr">
        <is>
          <t>https://www.britishmuseum.org/collection</t>
        </is>
      </c>
      <c r="T47" s="2" t="inlineStr"/>
      <c r="U47" s="2" t="inlineStr">
        <is>
          <t>Pair with Enki for wisdom-tech thread.</t>
        </is>
      </c>
    </row>
    <row r="48">
      <c r="A48" s="2" t="inlineStr">
        <is>
          <t>Sacred knowledge / writing</t>
        </is>
      </c>
      <c r="B48" s="2" t="inlineStr">
        <is>
          <t>Messenger / interpreter / boundary crosser</t>
        </is>
      </c>
      <c r="C48" s="2" t="inlineStr">
        <is>
          <t>Hermes</t>
        </is>
      </c>
      <c r="D48" s="2" t="inlineStr">
        <is>
          <t>Greek</t>
        </is>
      </c>
      <c r="E48" s="2" t="inlineStr">
        <is>
          <t>Aegean / Greece / Italy</t>
        </is>
      </c>
      <c r="F48" s="2" t="inlineStr">
        <is>
          <t>Archaic/Classical Greek witness</t>
        </is>
      </c>
      <c r="G48" s="2" t="inlineStr">
        <is>
          <t>God / mediator</t>
        </is>
      </c>
      <c r="H48" s="2" t="inlineStr">
        <is>
          <t>Interpretation, travel between realms, messages</t>
        </is>
      </c>
      <c r="I48" s="2" t="inlineStr">
        <is>
          <t>Thoth; Enki (loosely)</t>
        </is>
      </c>
      <c r="J48" s="2" t="inlineStr">
        <is>
          <t>Greek literary corpus</t>
        </is>
      </c>
      <c r="K48" s="2" t="inlineStr">
        <is>
          <t>Greek art and text corpus</t>
        </is>
      </c>
      <c r="L48" s="2" t="inlineStr">
        <is>
          <t>Structural parallel</t>
        </is>
      </c>
      <c r="M48" s="2" t="inlineStr">
        <is>
          <t>Best as mediator-scribe analogue rather than creator figure</t>
        </is>
      </c>
      <c r="N48" s="2" t="inlineStr">
        <is>
          <t>Perseus</t>
        </is>
      </c>
      <c r="O48" s="2" t="inlineStr">
        <is>
          <t>https://www.perseus.tufts.edu/hopper/</t>
        </is>
      </c>
      <c r="P48" s="2" t="inlineStr">
        <is>
          <t>Perseus</t>
        </is>
      </c>
      <c r="Q48" s="2" t="inlineStr">
        <is>
          <t>https://www.perseus.tufts.edu/hopper/</t>
        </is>
      </c>
      <c r="R48" s="2" t="inlineStr">
        <is>
          <t>Perseus Art &amp; Archaeology</t>
        </is>
      </c>
      <c r="S48" s="2" t="inlineStr">
        <is>
          <t>https://perseus.pubpub.org/</t>
        </is>
      </c>
      <c r="T48" s="2" t="inlineStr"/>
      <c r="U48" s="2" t="inlineStr">
        <is>
          <t>Do not over-collapse with Thoth; use as function parallel.</t>
        </is>
      </c>
    </row>
    <row r="49">
      <c r="A49" s="2" t="inlineStr">
        <is>
          <t>Sacred knowledge / writing</t>
        </is>
      </c>
      <c r="B49" s="2" t="inlineStr">
        <is>
          <t>Sage tradition / writing origins</t>
        </is>
      </c>
      <c r="C49" s="2" t="inlineStr">
        <is>
          <t>Oracle-bone diviners</t>
        </is>
      </c>
      <c r="D49" s="2" t="inlineStr">
        <is>
          <t>Shang Chinese</t>
        </is>
      </c>
      <c r="E49" s="2" t="inlineStr">
        <is>
          <t>China</t>
        </is>
      </c>
      <c r="F49" s="2" t="inlineStr">
        <is>
          <t>Late 2nd millennium BCE</t>
        </is>
      </c>
      <c r="G49" s="2" t="inlineStr">
        <is>
          <t>Ritual specialists</t>
        </is>
      </c>
      <c r="H49" s="2" t="inlineStr">
        <is>
          <t>Divination, inscription, state mediation</t>
        </is>
      </c>
      <c r="I49" s="2" t="inlineStr">
        <is>
          <t>Mesopotamian omen scribes; Egyptian priests</t>
        </is>
      </c>
      <c r="J49" s="2" t="inlineStr">
        <is>
          <t>Oracle bone inscriptions</t>
        </is>
      </c>
      <c r="K49" s="2" t="inlineStr">
        <is>
          <t>Anyang / museum collections</t>
        </is>
      </c>
      <c r="L49" s="2" t="inlineStr">
        <is>
          <t>Structural parallel</t>
        </is>
      </c>
      <c r="M49" s="2" t="inlineStr">
        <is>
          <t>Institutional role parallels other scribal-divinatory classes</t>
        </is>
      </c>
      <c r="N49" s="2" t="inlineStr">
        <is>
          <t>Smithsonian / major museum collections</t>
        </is>
      </c>
      <c r="O49" s="2" t="inlineStr">
        <is>
          <t>https://www.si.edu/openaccess</t>
        </is>
      </c>
      <c r="P49" s="2" t="inlineStr">
        <is>
          <t>Chinese Text Project / translations</t>
        </is>
      </c>
      <c r="Q49" s="2" t="inlineStr">
        <is>
          <t>https://ctext.org/</t>
        </is>
      </c>
      <c r="R49" s="2" t="inlineStr">
        <is>
          <t>Smithsonian Open Access</t>
        </is>
      </c>
      <c r="S49" s="2" t="inlineStr">
        <is>
          <t>https://www.si.edu/openaccess</t>
        </is>
      </c>
      <c r="T49" s="2" t="inlineStr"/>
      <c r="U49" s="2" t="inlineStr">
        <is>
          <t>Good institutional rather than named-character comparator.</t>
        </is>
      </c>
    </row>
    <row r="50">
      <c r="A50" s="2" t="inlineStr">
        <is>
          <t>World ages / resets</t>
        </is>
      </c>
      <c r="B50" s="2" t="inlineStr">
        <is>
          <t>Age destruction and renewal</t>
        </is>
      </c>
      <c r="C50" s="2" t="inlineStr">
        <is>
          <t>Five Suns motifs</t>
        </is>
      </c>
      <c r="D50" s="2" t="inlineStr">
        <is>
          <t>Mesoamerican (later witness to pre-Columbian themes)</t>
        </is>
      </c>
      <c r="E50" s="2" t="inlineStr">
        <is>
          <t>Mesoamerica</t>
        </is>
      </c>
      <c r="F50" s="2" t="inlineStr">
        <is>
          <t>Later witness preserving older cosmology</t>
        </is>
      </c>
      <c r="G50" s="2" t="inlineStr">
        <is>
          <t>Cosmic cycle motif</t>
        </is>
      </c>
      <c r="H50" s="2" t="inlineStr">
        <is>
          <t>Successive worlds destroyed and renewed</t>
        </is>
      </c>
      <c r="I50" s="2" t="inlineStr">
        <is>
          <t>Indian yugas; Greek ages of man</t>
        </is>
      </c>
      <c r="J50" s="2" t="inlineStr">
        <is>
          <t>Central Mexican codices and traditions</t>
        </is>
      </c>
      <c r="K50" s="2" t="inlineStr">
        <is>
          <t>Mesoamerican codex corpus</t>
        </is>
      </c>
      <c r="L50" s="2" t="inlineStr">
        <is>
          <t>Structural parallel</t>
        </is>
      </c>
      <c r="M50" s="2" t="inlineStr">
        <is>
          <t>Use as world-age comparator, not named-character identity</t>
        </is>
      </c>
      <c r="N50" s="2" t="inlineStr">
        <is>
          <t>FAMSI</t>
        </is>
      </c>
      <c r="O50" s="2" t="inlineStr">
        <is>
          <t>https://www.famsi.org/mayawriting/codices/</t>
        </is>
      </c>
      <c r="P50" s="2" t="inlineStr">
        <is>
          <t>FAMSI</t>
        </is>
      </c>
      <c r="Q50" s="2" t="inlineStr">
        <is>
          <t>https://www.famsi.org/mayawriting/codices/</t>
        </is>
      </c>
      <c r="R50" s="2" t="inlineStr">
        <is>
          <t>Smithsonian Open Access</t>
        </is>
      </c>
      <c r="S50" s="2" t="inlineStr">
        <is>
          <t>https://www.si.edu/openaccess</t>
        </is>
      </c>
      <c r="T50" s="2" t="inlineStr"/>
      <c r="U50" s="2" t="inlineStr">
        <is>
          <t>Later witness flag should remain on.</t>
        </is>
      </c>
    </row>
    <row r="51">
      <c r="A51" s="2" t="inlineStr">
        <is>
          <t>World ages / resets</t>
        </is>
      </c>
      <c r="B51" s="2" t="inlineStr">
        <is>
          <t>Yugas / cyclical ages</t>
        </is>
      </c>
      <c r="C51" s="2" t="inlineStr">
        <is>
          <t>Manu (as cycle bridge)</t>
        </is>
      </c>
      <c r="D51" s="2" t="inlineStr">
        <is>
          <t>Indian</t>
        </is>
      </c>
      <c r="E51" s="2" t="inlineStr">
        <is>
          <t>South Asia</t>
        </is>
      </c>
      <c r="F51" s="2" t="inlineStr">
        <is>
          <t>Late BCE/early CE witness to older tradition</t>
        </is>
      </c>
      <c r="G51" s="2" t="inlineStr">
        <is>
          <t>Cycle-law figure</t>
        </is>
      </c>
      <c r="H51" s="2" t="inlineStr">
        <is>
          <t>Anchors law/order across world cycles</t>
        </is>
      </c>
      <c r="I51" s="2" t="inlineStr">
        <is>
          <t>Five Suns; Greek ages</t>
        </is>
      </c>
      <c r="J51" s="2" t="inlineStr">
        <is>
          <t>Puranic and epic traditions</t>
        </is>
      </c>
      <c r="K51" s="2" t="inlineStr">
        <is>
          <t>Indian manuscript tradition</t>
        </is>
      </c>
      <c r="L51" s="2" t="inlineStr">
        <is>
          <t>Structural parallel</t>
        </is>
      </c>
      <c r="M51" s="2" t="inlineStr">
        <is>
          <t>Use carefully because redaction layers are later</t>
        </is>
      </c>
      <c r="N51" s="2" t="inlineStr">
        <is>
          <t>Sacred Texts / translated editions</t>
        </is>
      </c>
      <c r="O51" s="2" t="inlineStr">
        <is>
          <t>https://www.sacred-texts.com/hin/</t>
        </is>
      </c>
      <c r="P51" s="2" t="inlineStr">
        <is>
          <t>Sacred Texts / translated editions</t>
        </is>
      </c>
      <c r="Q51" s="2" t="inlineStr">
        <is>
          <t>https://www.sacred-texts.com/hin/</t>
        </is>
      </c>
      <c r="R51" s="2" t="inlineStr">
        <is>
          <t>British Library / museum collections</t>
        </is>
      </c>
      <c r="S51" s="2" t="inlineStr">
        <is>
          <t>https://www.bl.uk/collection-guides</t>
        </is>
      </c>
      <c r="T51" s="2" t="inlineStr">
        <is>
          <t>Manu flood tradition; Śatapatha Brāhmaṇa flood of Manu; Chu Silk Manuscript</t>
        </is>
      </c>
      <c r="U51" s="2" t="inlineStr">
        <is>
          <t>Better thematic than one-to-one character parallel.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0" customWidth="1" min="4" max="4"/>
    <col width="34" customWidth="1" min="5" max="5"/>
    <col width="24" customWidth="1" min="6" max="6"/>
  </cols>
  <sheetData>
    <row r="1">
      <c r="A1" s="12" t="inlineStr">
        <is>
          <t>Portal_Name</t>
        </is>
      </c>
      <c r="B1" s="12" t="inlineStr">
        <is>
          <t>What_it_is_best_for</t>
        </is>
      </c>
      <c r="C1" s="12" t="inlineStr">
        <is>
          <t>What_you_get</t>
        </is>
      </c>
      <c r="D1" s="12" t="inlineStr">
        <is>
          <t>Typical_use</t>
        </is>
      </c>
      <c r="E1" s="12" t="inlineStr">
        <is>
          <t>Official_URL</t>
        </is>
      </c>
      <c r="F1" s="12" t="inlineStr">
        <is>
          <t>Notes</t>
        </is>
      </c>
    </row>
    <row r="2">
      <c r="A2" s="2" t="inlineStr">
        <is>
          <t>ORACC</t>
        </is>
      </c>
      <c r="B2" s="2" t="inlineStr">
        <is>
          <t>Mesopotamian cuneiform corpora</t>
        </is>
      </c>
      <c r="C2" s="2" t="inlineStr">
        <is>
          <t>Annotated transliterations, translations, corpus context</t>
        </is>
      </c>
      <c r="D2" s="2" t="inlineStr">
        <is>
          <t>Use first for Akkadian/Assyrian/Babylonian tablets</t>
        </is>
      </c>
      <c r="E2" s="2" t="inlineStr">
        <is>
          <t>https://oracc.museum.upenn.edu/</t>
        </is>
      </c>
      <c r="F2" s="2" t="inlineStr">
        <is>
          <t>Best for fact-first cuneiform reading.</t>
        </is>
      </c>
    </row>
    <row r="3">
      <c r="A3" s="2" t="inlineStr">
        <is>
          <t>ETCSL</t>
        </is>
      </c>
      <c r="B3" s="2" t="inlineStr">
        <is>
          <t>Sumerian literary corpus</t>
        </is>
      </c>
      <c r="C3" s="2" t="inlineStr">
        <is>
          <t>English translations and transliterations of Sumerian literature</t>
        </is>
      </c>
      <c r="D3" s="2" t="inlineStr">
        <is>
          <t>Use first for Sumerian myths and literary compositions</t>
        </is>
      </c>
      <c r="E3" s="2" t="inlineStr">
        <is>
          <t>https://etcsl.orinst.ox.ac.uk/</t>
        </is>
      </c>
      <c r="F3" s="2" t="inlineStr">
        <is>
          <t>Best for readable Sumerian literary texts.</t>
        </is>
      </c>
    </row>
    <row r="4">
      <c r="A4" s="2" t="inlineStr">
        <is>
          <t>TLA</t>
        </is>
      </c>
      <c r="B4" s="2" t="inlineStr">
        <is>
          <t>Egyptian text corpus</t>
        </is>
      </c>
      <c r="C4" s="2" t="inlineStr">
        <is>
          <t>Egyptian texts, transliterations, vocabulary links, context</t>
        </is>
      </c>
      <c r="D4" s="2" t="inlineStr">
        <is>
          <t>Use first for Egyptian religious and historical texts</t>
        </is>
      </c>
      <c r="E4" s="2" t="inlineStr">
        <is>
          <t>https://thesaurus-linguae-aegyptiae.de/home</t>
        </is>
      </c>
      <c r="F4" s="2" t="inlineStr">
        <is>
          <t>Best central Egyptian text platform.</t>
        </is>
      </c>
    </row>
    <row r="5">
      <c r="A5" s="2" t="inlineStr">
        <is>
          <t>Dead Sea Scrolls Digital Library</t>
        </is>
      </c>
      <c r="B5" s="2" t="inlineStr">
        <is>
          <t>Qumran manuscripts</t>
        </is>
      </c>
      <c r="C5" s="2" t="inlineStr">
        <is>
          <t>High-resolution scroll images and manuscript context</t>
        </is>
      </c>
      <c r="D5" s="2" t="inlineStr">
        <is>
          <t>Use for BCE manuscript witnesses and imaging</t>
        </is>
      </c>
      <c r="E5" s="2" t="inlineStr">
        <is>
          <t>https://www.deadseascrolls.org.il/</t>
        </is>
      </c>
      <c r="F5" s="2" t="inlineStr">
        <is>
          <t>Strong on images and manuscript access.</t>
        </is>
      </c>
    </row>
    <row r="6">
      <c r="A6" s="2" t="inlineStr">
        <is>
          <t>Sefaria</t>
        </is>
      </c>
      <c r="B6" s="2" t="inlineStr">
        <is>
          <t>Hebrew/Jewish translated texts</t>
        </is>
      </c>
      <c r="C6" s="2" t="inlineStr">
        <is>
          <t>Readable translations and linked text navigation</t>
        </is>
      </c>
      <c r="D6" s="2" t="inlineStr">
        <is>
          <t>Use for biblical / Second Temple reading paths</t>
        </is>
      </c>
      <c r="E6" s="2" t="inlineStr">
        <is>
          <t>https://www.sefaria.org/</t>
        </is>
      </c>
      <c r="F6" s="2" t="inlineStr">
        <is>
          <t>Great for readable text access, less object-oriented.</t>
        </is>
      </c>
    </row>
    <row r="7">
      <c r="A7" s="2" t="inlineStr">
        <is>
          <t>Perseus</t>
        </is>
      </c>
      <c r="B7" s="2" t="inlineStr">
        <is>
          <t>Greek and Roman primary texts</t>
        </is>
      </c>
      <c r="C7" s="2" t="inlineStr">
        <is>
          <t>Primary texts, translations, and some archaeology</t>
        </is>
      </c>
      <c r="D7" s="2" t="inlineStr">
        <is>
          <t>Use first for Greek myth/history text comparisons</t>
        </is>
      </c>
      <c r="E7" s="2" t="inlineStr">
        <is>
          <t>https://www.perseus.tufts.edu/hopper/</t>
        </is>
      </c>
      <c r="F7" s="2" t="inlineStr">
        <is>
          <t>Also useful for classical reception of Near Eastern material.</t>
        </is>
      </c>
    </row>
    <row r="8">
      <c r="A8" s="2" t="inlineStr">
        <is>
          <t>Chinese Text Project</t>
        </is>
      </c>
      <c r="B8" s="2" t="inlineStr">
        <is>
          <t>Pre-modern Chinese texts</t>
        </is>
      </c>
      <c r="C8" s="2" t="inlineStr">
        <is>
          <t>Searchable Chinese classical corpus with many translations</t>
        </is>
      </c>
      <c r="D8" s="2" t="inlineStr">
        <is>
          <t>Use first for pre-Qin/Han text discovery</t>
        </is>
      </c>
      <c r="E8" s="2" t="inlineStr">
        <is>
          <t>https://ctext.org/</t>
        </is>
      </c>
      <c r="F8" s="2" t="inlineStr">
        <is>
          <t>Strong for early Chinese textual parallels.</t>
        </is>
      </c>
    </row>
    <row r="9">
      <c r="A9" s="2" t="inlineStr">
        <is>
          <t>Papyri.info</t>
        </is>
      </c>
      <c r="B9" s="2" t="inlineStr">
        <is>
          <t>Ancient papyri</t>
        </is>
      </c>
      <c r="C9" s="2" t="inlineStr">
        <is>
          <t>Texts, metadata, commentary, bibliography, images</t>
        </is>
      </c>
      <c r="D9" s="2" t="inlineStr">
        <is>
          <t>Use for papyri/document-level evidence</t>
        </is>
      </c>
      <c r="E9" s="2" t="inlineStr">
        <is>
          <t>https://papyri.info/</t>
        </is>
      </c>
      <c r="F9" s="2" t="inlineStr">
        <is>
          <t>Particularly strong on documentary texts.</t>
        </is>
      </c>
    </row>
    <row r="10">
      <c r="A10" s="2" t="inlineStr">
        <is>
          <t>FAMSI</t>
        </is>
      </c>
      <c r="B10" s="2" t="inlineStr">
        <is>
          <t>Mesoamerican codices and writing resources</t>
        </is>
      </c>
      <c r="C10" s="2" t="inlineStr">
        <is>
          <t>Codex facsimiles and writing resources</t>
        </is>
      </c>
      <c r="D10" s="2" t="inlineStr">
        <is>
          <t>Use for codices, glyphs, and Mesoamerican imaging</t>
        </is>
      </c>
      <c r="E10" s="2" t="inlineStr">
        <is>
          <t>https://www.famsi.org/mayawriting/codices/</t>
        </is>
      </c>
      <c r="F10" s="2" t="inlineStr">
        <is>
          <t>Best starting portal for codex facsimiles.</t>
        </is>
      </c>
    </row>
    <row r="11">
      <c r="A11" s="2" t="inlineStr">
        <is>
          <t>UNESCO World Heritage Centre</t>
        </is>
      </c>
      <c r="B11" s="2" t="inlineStr">
        <is>
          <t>Official site and dating context</t>
        </is>
      </c>
      <c r="C11" s="2" t="inlineStr">
        <is>
          <t>Site summaries, boundaries, chronology, preservation context</t>
        </is>
      </c>
      <c r="D11" s="2" t="inlineStr">
        <is>
          <t>Use first for site overview and mainstream framing</t>
        </is>
      </c>
      <c r="E11" s="2" t="inlineStr">
        <is>
          <t>https://whc.unesco.org/</t>
        </is>
      </c>
      <c r="F11" s="2" t="inlineStr">
        <is>
          <t>Good control source for site-level facts.</t>
        </is>
      </c>
    </row>
    <row r="12">
      <c r="A12" s="2" t="inlineStr">
        <is>
          <t>British Museum Collection</t>
        </is>
      </c>
      <c r="B12" s="2" t="inlineStr">
        <is>
          <t>Artifacts and object pages</t>
        </is>
      </c>
      <c r="C12" s="2" t="inlineStr">
        <is>
          <t>Museum object records and images</t>
        </is>
      </c>
      <c r="D12" s="2" t="inlineStr">
        <is>
          <t>Use for widely dispersed ancient artifacts</t>
        </is>
      </c>
      <c r="E12" s="2" t="inlineStr">
        <is>
          <t>https://www.britishmuseum.org/collection</t>
        </is>
      </c>
      <c r="F12" s="2" t="inlineStr">
        <is>
          <t>Broadest public object collection among your current stack.</t>
        </is>
      </c>
    </row>
    <row r="13">
      <c r="A13" s="2" t="inlineStr">
        <is>
          <t>Smithsonian Collections / Open Access</t>
        </is>
      </c>
      <c r="B13" s="2" t="inlineStr">
        <is>
          <t>Open object search and images</t>
        </is>
      </c>
      <c r="C13" s="2" t="inlineStr">
        <is>
          <t>Collection records and downloadable imagery</t>
        </is>
      </c>
      <c r="D13" s="2" t="inlineStr">
        <is>
          <t>Use for image hunting and cross-cultural artifact comparisons</t>
        </is>
      </c>
      <c r="E13" s="2" t="inlineStr">
        <is>
          <t>https://www.si.edu/openaccess</t>
        </is>
      </c>
      <c r="F13" s="2" t="inlineStr">
        <is>
          <t>Useful supplement when local museums are sparse.</t>
        </is>
      </c>
    </row>
    <row r="14">
      <c r="A14" s="2" t="inlineStr">
        <is>
          <t>Pleiades</t>
        </is>
      </c>
      <c r="B14" s="2" t="inlineStr">
        <is>
          <t>Ancient geography and place references</t>
        </is>
      </c>
      <c r="C14" s="2" t="inlineStr">
        <is>
          <t>Ancient place records and coordinates</t>
        </is>
      </c>
      <c r="D14" s="2" t="inlineStr">
        <is>
          <t>Use to anchor geography and route relationships</t>
        </is>
      </c>
      <c r="E14" s="2" t="inlineStr">
        <is>
          <t>https://pleiades.stoa.org/</t>
        </is>
      </c>
      <c r="F14" s="2" t="inlineStr">
        <is>
          <t>Best map/geography helper in the current workbook.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2026-04-08T01:48:42Z</dcterms:created>
  <dcterms:modified xmlns:dcterms="http://purl.org/dc/terms/" xmlns:xsi="http://www.w3.org/2001/XMLSchema-instance" xsi:type="dcterms:W3CDTF">2026-04-08T02:05:47Z</dcterms:modified>
</cp:coreProperties>
</file>